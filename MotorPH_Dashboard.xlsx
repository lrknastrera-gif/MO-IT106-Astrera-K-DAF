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ummary Tables" sheetId="2" state="visible" r:id="rId4"/>
    <sheet name="Products" sheetId="3" state="visible" r:id="rId5"/>
    <sheet name="Sales Data" sheetId="4" state="visible" r:id="rId6"/>
    <sheet name="Data Quality" sheetId="5" state="visible" r:id="rId7"/>
  </sheets>
  <definedNames>
    <definedName function="false" hidden="true" localSheetId="2" name="_xlnm._FilterDatabase" vbProcedure="false">Products!$A$1:$H$51</definedName>
    <definedName function="false" hidden="true" localSheetId="3" name="_xlnm._FilterDatabase" vbProcedure="false">'Sales Data'!$A$1:$H$995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<sst xmlns="http://schemas.openxmlformats.org/spreadsheetml/2006/main" count="3270" uniqueCount="159">
  <si>
    <t xml:space="preserve">MotorPH Analytical Dashboard</t>
  </si>
  <si>
    <t xml:space="preserve">Product lineup and sales performance | Sales records 13 Jan 2025 to 31 Aug 2025 | Amounts in Philippine pesos (₱)</t>
  </si>
  <si>
    <t xml:space="preserve">MotorPH Overview</t>
  </si>
  <si>
    <t xml:space="preserve">Total Revenue</t>
  </si>
  <si>
    <t xml:space="preserve">Total Units Sold</t>
  </si>
  <si>
    <t xml:space="preserve">Sales Orders</t>
  </si>
  <si>
    <t xml:space="preserve">Average Order Value</t>
  </si>
  <si>
    <t xml:space="preserve">Product Records</t>
  </si>
  <si>
    <t xml:space="preserve">Average Unit Price</t>
  </si>
  <si>
    <t xml:space="preserve">all sales orders</t>
  </si>
  <si>
    <t xml:space="preserve">rows in Sales Data</t>
  </si>
  <si>
    <t xml:space="preserve">revenue per order</t>
  </si>
  <si>
    <t xml:space="preserve">catalogue rows, not stock</t>
  </si>
  <si>
    <t xml:space="preserve">across catalogue</t>
  </si>
  <si>
    <t xml:space="preserve">Sales Performance</t>
  </si>
  <si>
    <t xml:space="preserve">Sales by Product Category</t>
  </si>
  <si>
    <t xml:space="preserve">Key Insights (generated from the data when the workbook was built)</t>
  </si>
  <si>
    <t xml:space="preserve">•  Scooter is the top revenue category: ₱747.2M (16.8% of sales) from 12 of 50 models (24% of the catalogue).</t>
  </si>
  <si>
    <t xml:space="preserve">•  The top 3 categories (Scooter, Cruiser, Naked Bike) bring in 44% of revenue, so sales are concentrated in a few segments.</t>
  </si>
  <si>
    <t xml:space="preserve">•  Heritage earns the most per model (₱276.6M per product), which means the number of models in a category does not by itself predict sales.</t>
  </si>
  <si>
    <t xml:space="preserve">•  Best seller by revenue: Moto Guzzi V7 Stone (₱327.3M). Best seller by units: Bristol Bobber 650 (575 units).</t>
  </si>
  <si>
    <t xml:space="preserve">•  Retail orders contribute 53.5% of revenue and wholesale 45.7%, so both channels drive sales (0.8% of revenue has client type 'Unknown' in the source data).</t>
  </si>
  <si>
    <t xml:space="preserve">•  Data coverage: sales run from 13 Jan 2025 to 31 Aug 2025, with no sales records for Feb 2025, Mar 2025, Apr 2025, May 2025 and only a handful of records in Jan 2025. Trend conclusions should be drawn from the months with full data.</t>
  </si>
  <si>
    <t xml:space="preserve">What the Data Can and Cannot Show</t>
  </si>
  <si>
    <t xml:space="preserve">•  What the counts mean: 'Product Records per Category' counts catalogue records (one row per model, N = 50). It is not stock on hand. The files contain no stock-quantity field, so the Inventory Section shows products, categories, prices and sales, not quantities left.</t>
  </si>
  <si>
    <t xml:space="preserve">•  Variety is not demand: 7 of 17 categories have only one model, so their share rests on a single product. Revenue per model compares sales between categories but cannot show whether a category is over- or under-stocked.</t>
  </si>
  <si>
    <t xml:space="preserve">•  Source-data gaps: 10 orders have client type 'Unknown' and 10 have payment method 'Unknown'. They are kept in the revenue totals and shown as their own group.</t>
  </si>
  <si>
    <t xml:space="preserve">•  Before recommending any purchasing or inventory change: add quantity on hand (and ideally reorder level and lead time) for each Product ID. Validate it first: no missing or negative quantities, every Product ID matches the catalogue, and stock reconciles with units sold and acquisitions. Then compare stock with the sales rate (for example months of cover) for each category.</t>
  </si>
  <si>
    <t xml:space="preserve">Inventory Section: Product Catalogue, Pricing and Sales (no stock-on-hand data)</t>
  </si>
  <si>
    <t xml:space="preserve">ID</t>
  </si>
  <si>
    <t xml:space="preserve">Product Name</t>
  </si>
  <si>
    <t xml:space="preserve">Category</t>
  </si>
  <si>
    <t xml:space="preserve">Unit Price</t>
  </si>
  <si>
    <t xml:space="preserve">Mfg Year</t>
  </si>
  <si>
    <t xml:space="preserve">Acquired</t>
  </si>
  <si>
    <t xml:space="preserve">Units Sold</t>
  </si>
  <si>
    <t xml:space="preserve">Revenue</t>
  </si>
  <si>
    <t xml:space="preserve">Summary Tables (all values are formulas on the Sales Data and Products sheets)</t>
  </si>
  <si>
    <t xml:space="preserve">Monthly revenue</t>
  </si>
  <si>
    <t xml:space="preserve">Revenue by client type</t>
  </si>
  <si>
    <t xml:space="preserve">Revenue by payment method</t>
  </si>
  <si>
    <t xml:space="preserve">Top 10 products by revenue</t>
  </si>
  <si>
    <t xml:space="preserve">Top 10 products by units sold</t>
  </si>
  <si>
    <t xml:space="preserve">Month</t>
  </si>
  <si>
    <t xml:space="preserve">Units</t>
  </si>
  <si>
    <t xml:space="preserve">Client Type</t>
  </si>
  <si>
    <t xml:space="preserve">Share</t>
  </si>
  <si>
    <t xml:space="preserve">Payment Method</t>
  </si>
  <si>
    <t xml:space="preserve">Product</t>
  </si>
  <si>
    <t xml:space="preserve">Retail</t>
  </si>
  <si>
    <t xml:space="preserve">Credit Card</t>
  </si>
  <si>
    <t xml:space="preserve">Moto Guzzi V7 Stone</t>
  </si>
  <si>
    <t xml:space="preserve">Bristol Bobber 650</t>
  </si>
  <si>
    <t xml:space="preserve">Wholesale</t>
  </si>
  <si>
    <t xml:space="preserve">Transfer</t>
  </si>
  <si>
    <t xml:space="preserve">Bajaj CT125</t>
  </si>
  <si>
    <t xml:space="preserve">Unknown</t>
  </si>
  <si>
    <t xml:space="preserve">Cash</t>
  </si>
  <si>
    <t xml:space="preserve">BMW R nineT</t>
  </si>
  <si>
    <t xml:space="preserve">CFMoto 300SR</t>
  </si>
  <si>
    <t xml:space="preserve">KTM 790 Duke</t>
  </si>
  <si>
    <t xml:space="preserve">Yamaha Serow 250</t>
  </si>
  <si>
    <t xml:space="preserve">Honda Rebel 1100</t>
  </si>
  <si>
    <t xml:space="preserve">Yamaha FZi 150</t>
  </si>
  <si>
    <t xml:space="preserve">Zontes 310X</t>
  </si>
  <si>
    <t xml:space="preserve">CFMoto 650MT</t>
  </si>
  <si>
    <t xml:space="preserve">Vespa GTS Super 300</t>
  </si>
  <si>
    <t xml:space="preserve">Royal Enfield Classic 350</t>
  </si>
  <si>
    <t xml:space="preserve">Honda CBR500R</t>
  </si>
  <si>
    <t xml:space="preserve">Honda ADV 160</t>
  </si>
  <si>
    <t xml:space="preserve">BMW G 310 GS</t>
  </si>
  <si>
    <t xml:space="preserve">CFMoto 300NK</t>
  </si>
  <si>
    <t xml:space="preserve">Product records per category (Milestone 2 Draft chart)</t>
  </si>
  <si>
    <t xml:space="preserve">Category sales performance</t>
  </si>
  <si>
    <t xml:space="preserve">Products</t>
  </si>
  <si>
    <t xml:space="preserve">% of catalogue</t>
  </si>
  <si>
    <t xml:space="preserve">Revenue Share</t>
  </si>
  <si>
    <t xml:space="preserve">Revenue per Model</t>
  </si>
  <si>
    <t xml:space="preserve">Scooter</t>
  </si>
  <si>
    <t xml:space="preserve">Naked Bike</t>
  </si>
  <si>
    <t xml:space="preserve">Cruiser</t>
  </si>
  <si>
    <t xml:space="preserve">Sport</t>
  </si>
  <si>
    <t xml:space="preserve">Adventure</t>
  </si>
  <si>
    <t xml:space="preserve">Heritage</t>
  </si>
  <si>
    <t xml:space="preserve">Underbone</t>
  </si>
  <si>
    <t xml:space="preserve">Dual-Sport</t>
  </si>
  <si>
    <t xml:space="preserve">Cafe Racer</t>
  </si>
  <si>
    <t xml:space="preserve">Commuter</t>
  </si>
  <si>
    <t xml:space="preserve">Touring</t>
  </si>
  <si>
    <t xml:space="preserve">Classic</t>
  </si>
  <si>
    <t xml:space="preserve">Retro</t>
  </si>
  <si>
    <t xml:space="preserve">Scrambler</t>
  </si>
  <si>
    <t xml:space="preserve">Sport Touring</t>
  </si>
  <si>
    <t xml:space="preserve">Standard</t>
  </si>
  <si>
    <t xml:space="preserve">Street</t>
  </si>
  <si>
    <t xml:space="preserve">Product ID Number</t>
  </si>
  <si>
    <t xml:space="preserve">Product Type</t>
  </si>
  <si>
    <t xml:space="preserve">Date of Manufacturing</t>
  </si>
  <si>
    <t xml:space="preserve">Date of Acquisition</t>
  </si>
  <si>
    <t xml:space="preserve">Moto Morini X-Cape 650</t>
  </si>
  <si>
    <t xml:space="preserve">Motorstar Xplorer 250R</t>
  </si>
  <si>
    <t xml:space="preserve">Bristol Veloce 500</t>
  </si>
  <si>
    <t xml:space="preserve">Zontes GK350</t>
  </si>
  <si>
    <t xml:space="preserve">Rusi Flash 125</t>
  </si>
  <si>
    <t xml:space="preserve">Harley-Davidson Street 750</t>
  </si>
  <si>
    <t xml:space="preserve">Benelli 502C</t>
  </si>
  <si>
    <t xml:space="preserve">Honda CRF300L</t>
  </si>
  <si>
    <t xml:space="preserve">Kawasaki KLX 230</t>
  </si>
  <si>
    <t xml:space="preserve">Kawasaki Z400</t>
  </si>
  <si>
    <t xml:space="preserve">Yamaha MT-15</t>
  </si>
  <si>
    <t xml:space="preserve">KTM Duke 200</t>
  </si>
  <si>
    <t xml:space="preserve">TVS Apache RTR 200 4V</t>
  </si>
  <si>
    <t xml:space="preserve">Suzuki GSX-S150</t>
  </si>
  <si>
    <t xml:space="preserve">Yamaha XSR155</t>
  </si>
  <si>
    <t xml:space="preserve">Yamaha XMAX 300</t>
  </si>
  <si>
    <t xml:space="preserve">Italjet Dragster 200</t>
  </si>
  <si>
    <t xml:space="preserve">Aprilia SR GT 200</t>
  </si>
  <si>
    <t xml:space="preserve">Vespa Primavera 150</t>
  </si>
  <si>
    <t xml:space="preserve">Yamaha NMAX 155</t>
  </si>
  <si>
    <t xml:space="preserve">SYM Jet X 150</t>
  </si>
  <si>
    <t xml:space="preserve">Yamaha Aerox 155</t>
  </si>
  <si>
    <t xml:space="preserve">Suzuki Burgman Street 125</t>
  </si>
  <si>
    <t xml:space="preserve">Honda Click 125i</t>
  </si>
  <si>
    <t xml:space="preserve">Suzuki Avenis 125</t>
  </si>
  <si>
    <t xml:space="preserve">Husqvarna Svartpilen 401</t>
  </si>
  <si>
    <t xml:space="preserve">Kawasaki Ninja 400</t>
  </si>
  <si>
    <t xml:space="preserve">KTM RC 200</t>
  </si>
  <si>
    <t xml:space="preserve">Bajaj Dominar 400</t>
  </si>
  <si>
    <t xml:space="preserve">Keeway RKS 150 Sport</t>
  </si>
  <si>
    <t xml:space="preserve">Yamaha Sniper 155</t>
  </si>
  <si>
    <t xml:space="preserve">Suzuki Raider R150 Fi</t>
  </si>
  <si>
    <t xml:space="preserve">SYM Husky 150</t>
  </si>
  <si>
    <t xml:space="preserve">Date</t>
  </si>
  <si>
    <t xml:space="preserve">Quantity</t>
  </si>
  <si>
    <t xml:space="preserve">Total</t>
  </si>
  <si>
    <t xml:space="preserve">Data-quality checks run by the script</t>
  </si>
  <si>
    <t xml:space="preserve">Dataset</t>
  </si>
  <si>
    <t xml:space="preserve">Check</t>
  </si>
  <si>
    <t xml:space="preserve">Result</t>
  </si>
  <si>
    <t xml:space="preserve">Product rows loaded</t>
  </si>
  <si>
    <t xml:space="preserve">Products with blank name/category/price removed</t>
  </si>
  <si>
    <t xml:space="preserve">Duplicate product rows removed</t>
  </si>
  <si>
    <t xml:space="preserve">Duplicate Product IDs removed</t>
  </si>
  <si>
    <t xml:space="preserve">Category labels written in more than one way</t>
  </si>
  <si>
    <t xml:space="preserve">Duplicate Product Names (sales are matched on name)</t>
  </si>
  <si>
    <t xml:space="preserve">Product rows used</t>
  </si>
  <si>
    <t xml:space="preserve">Sales</t>
  </si>
  <si>
    <t xml:space="preserve">Sales rows loaded</t>
  </si>
  <si>
    <t xml:space="preserve">Rows removed (missing/invalid date, product, price or quantity)</t>
  </si>
  <si>
    <t xml:space="preserve">Blank Client Type labelled 'Unknown'</t>
  </si>
  <si>
    <t xml:space="preserve">Client Type recorded as 'Unknown' (kept in totals)</t>
  </si>
  <si>
    <t xml:space="preserve">Blank Payment Method labelled 'Unknown'</t>
  </si>
  <si>
    <t xml:space="preserve">Payment Method recorded as 'Unknown' (kept in totals)</t>
  </si>
  <si>
    <t xml:space="preserve">Totals corrected (Unit Price x Quantity)</t>
  </si>
  <si>
    <t xml:space="preserve">Duplicate sales rows removed</t>
  </si>
  <si>
    <t xml:space="preserve">Sales not matched to a catalogue product</t>
  </si>
  <si>
    <t xml:space="preserve">Sales whose price differs from catalogue price</t>
  </si>
  <si>
    <t xml:space="preserve">Sales rows used</t>
  </si>
  <si>
    <t xml:space="preserve">Not covered: stock levels (not in the data), whether prices and quantities are true, and whether similar but different category names should be merged.</t>
  </si>
</sst>
</file>

<file path=xl/styles.xml><?xml version="1.0" encoding="utf-8"?>
<styleSheet xmlns="http://schemas.openxmlformats.org/spreadsheetml/2006/main">
  <numFmts count="9">
    <numFmt numFmtId="164" formatCode="General"/>
    <numFmt numFmtId="165" formatCode="\₱#,##0"/>
    <numFmt numFmtId="166" formatCode="#,##0"/>
    <numFmt numFmtId="167" formatCode="0"/>
    <numFmt numFmtId="168" formatCode="General"/>
    <numFmt numFmtId="169" formatCode="\₱#,##0.0,,\M"/>
    <numFmt numFmtId="170" formatCode="mmm\ yyyy"/>
    <numFmt numFmtId="171" formatCode="0.0%"/>
    <numFmt numFmtId="172" formatCode="yyyy\-mm\-dd"/>
  </numFmts>
  <fonts count="16">
    <font>
      <sz val="11"/>
      <color theme="1"/>
      <name val="Calibri"/>
      <family val="2"/>
      <charset val="1"/>
    </font>
    <font>
      <sz val="10"/>
      <name val="Arial"/>
      <family val="0"/>
    </font>
    <font>
      <sz val="10"/>
      <name val="Arial"/>
      <family val="0"/>
    </font>
    <font>
      <sz val="10"/>
      <name val="Arial"/>
      <family val="0"/>
    </font>
    <font>
      <b val="true"/>
      <sz val="24"/>
      <color rgb="FF12355B"/>
      <name val="Arial"/>
      <family val="0"/>
      <charset val="1"/>
    </font>
    <font>
      <sz val="10"/>
      <color rgb="FF6B7280"/>
      <name val="Arial"/>
      <family val="0"/>
      <charset val="1"/>
    </font>
    <font>
      <b val="true"/>
      <sz val="14"/>
      <color rgb="FFFFFFFF"/>
      <name val="Arial"/>
      <family val="0"/>
      <charset val="1"/>
    </font>
    <font>
      <b val="true"/>
      <sz val="18"/>
      <color rgb="FF12355B"/>
      <name val="Arial"/>
      <family val="0"/>
      <charset val="1"/>
    </font>
    <font>
      <sz val="9"/>
      <color rgb="FF6B7280"/>
      <name val="Arial"/>
      <family val="0"/>
      <charset val="1"/>
    </font>
    <font>
      <sz val="10"/>
      <color rgb="FF00000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4"/>
      <color rgb="FF12355B"/>
      <name val="Arial"/>
      <family val="0"/>
      <charset val="1"/>
    </font>
    <font>
      <b val="true"/>
      <sz val="11"/>
      <color rgb="FF12355B"/>
      <name val="Arial"/>
      <family val="0"/>
      <charset val="1"/>
    </font>
    <font>
      <sz val="10"/>
      <name val="Arial"/>
      <family val="0"/>
      <charset val="1"/>
    </font>
  </fonts>
  <fills count="5">
    <fill>
      <patternFill patternType="none"/>
    </fill>
    <fill>
      <patternFill patternType="gray125"/>
    </fill>
    <fill>
      <patternFill patternType="solid">
        <fgColor rgb="FF12355B"/>
        <bgColor rgb="FF333333"/>
      </patternFill>
    </fill>
    <fill>
      <patternFill patternType="solid">
        <fgColor rgb="FFF3F6FA"/>
        <bgColor rgb="FFFFFFFF"/>
      </patternFill>
    </fill>
    <fill>
      <patternFill patternType="solid">
        <fgColor rgb="FFFFFFFF"/>
        <bgColor rgb="FFF3F6FA"/>
      </patternFill>
    </fill>
  </fills>
  <borders count="2">
    <border diagonalUp="false" diagonalDown="false">
      <left/>
      <right/>
      <top/>
      <bottom/>
      <diagonal/>
    </border>
    <border diagonalUp="false" diagonalDown="false">
      <left style="thin">
        <color rgb="FFD5DEE9"/>
      </left>
      <right style="thin">
        <color rgb="FFD5DEE9"/>
      </right>
      <top style="thin">
        <color rgb="FFD5DEE9"/>
      </top>
      <bottom style="thin">
        <color rgb="FFD5DEE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5" fontId="7" fillId="3" borderId="0" xfId="0" applyFont="true" applyBorder="true" applyAlignment="true" applyProtection="false">
      <alignment horizontal="center" vertical="center" textRotation="0" wrapText="false" indent="0" shrinkToFit="false"/>
      <protection locked="true" hidden="false"/>
    </xf>
    <xf numFmtId="166" fontId="7" fillId="3" borderId="0" xfId="0" applyFont="true" applyBorder="true" applyAlignment="true" applyProtection="false">
      <alignment horizontal="center" vertical="center" textRotation="0" wrapText="false" indent="0" shrinkToFit="false"/>
      <protection locked="true" hidden="false"/>
    </xf>
    <xf numFmtId="167" fontId="7" fillId="3" borderId="0" xfId="0" applyFont="true" applyBorder="true" applyAlignment="true" applyProtection="false">
      <alignment horizontal="center" vertical="center" textRotation="0" wrapText="false" indent="0" shrinkToFit="false"/>
      <protection locked="true" hidden="false"/>
    </xf>
    <xf numFmtId="164" fontId="8" fillId="3"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8" fontId="9" fillId="3" borderId="1" xfId="0" applyFont="true" applyBorder="true" applyAlignment="true" applyProtection="false">
      <alignment horizontal="righ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5" fontId="9" fillId="3" borderId="1" xfId="0" applyFont="true" applyBorder="true" applyAlignment="true" applyProtection="false">
      <alignment horizontal="right" vertical="center" textRotation="0" wrapText="false" indent="0" shrinkToFit="false"/>
      <protection locked="true" hidden="false"/>
    </xf>
    <xf numFmtId="167" fontId="9" fillId="3" borderId="1" xfId="0" applyFont="true" applyBorder="true" applyAlignment="true" applyProtection="false">
      <alignment horizontal="right" vertical="center" textRotation="0" wrapText="false" indent="0" shrinkToFit="false"/>
      <protection locked="true" hidden="false"/>
    </xf>
    <xf numFmtId="166" fontId="9" fillId="3" borderId="1" xfId="0" applyFont="true" applyBorder="true" applyAlignment="true" applyProtection="false">
      <alignment horizontal="right" vertical="center" textRotation="0" wrapText="false" indent="0" shrinkToFit="false"/>
      <protection locked="true" hidden="false"/>
    </xf>
    <xf numFmtId="168" fontId="9" fillId="4" borderId="1" xfId="0" applyFont="true" applyBorder="true" applyAlignment="true" applyProtection="false">
      <alignment horizontal="righ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5" fontId="9" fillId="4" borderId="1" xfId="0" applyFont="true" applyBorder="true" applyAlignment="true" applyProtection="false">
      <alignment horizontal="right" vertical="center" textRotation="0" wrapText="false" indent="0" shrinkToFit="false"/>
      <protection locked="true" hidden="false"/>
    </xf>
    <xf numFmtId="167" fontId="9" fillId="4"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2355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D9D9D9"/>
      <rgbColor rgb="FF878787"/>
      <rgbColor rgb="FF9999FF"/>
      <rgbColor rgb="FFC0504D"/>
      <rgbColor rgb="FFF3F6FA"/>
      <rgbColor rgb="FFCCFFFF"/>
      <rgbColor rgb="FF660066"/>
      <rgbColor rgb="FFFF8080"/>
      <rgbColor rgb="FF0066CC"/>
      <rgbColor rgb="FFD5DE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F6DB5"/>
      <rgbColor rgb="FF33CCCC"/>
      <rgbColor rgb="FF9BBB59"/>
      <rgbColor rgb="FFFFCC00"/>
      <rgbColor rgb="FFFF9900"/>
      <rgbColor rgb="FFFF6600"/>
      <rgbColor rgb="FF6B7280"/>
      <rgbColor rgb="FF8064A2"/>
      <rgbColor rgb="FF12355B"/>
      <rgbColor rgb="FF2A9D8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a:t>
            </a:r>
          </a:p>
        </c:rich>
      </c:tx>
      <c:overlay val="0"/>
      <c:spPr>
        <a:noFill/>
        <a:ln w="0">
          <a:noFill/>
        </a:ln>
      </c:spPr>
    </c:title>
    <c:autoTitleDeleted val="0"/>
    <c:plotArea>
      <c:barChart>
        <c:barDir val="col"/>
        <c:grouping val="clustered"/>
        <c:varyColors val="0"/>
        <c:ser>
          <c:idx val="0"/>
          <c:order val="0"/>
          <c:tx>
            <c:strRef>
              <c:f>'Summary Tables'!B4</c:f>
              <c:strCache>
                <c:ptCount val="1"/>
                <c:pt idx="0">
                  <c:v>Revenue</c:v>
                </c:pt>
              </c:strCache>
            </c:strRef>
          </c:tx>
          <c:spPr>
            <a:solidFill>
              <a:srgbClr val="2f6db5"/>
            </a:solidFill>
            <a:ln w="9360">
              <a:solidFill>
                <a:srgbClr val="2f6db5"/>
              </a:solidFill>
              <a:round/>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Tables'!$A$5:$A$12</c:f>
              <c:strCache>
                <c:ptCount val="8"/>
                <c:pt idx="0">
                  <c:v>Jan 2025</c:v>
                </c:pt>
                <c:pt idx="1">
                  <c:v>Feb 2025</c:v>
                </c:pt>
                <c:pt idx="2">
                  <c:v>Mar 2025</c:v>
                </c:pt>
                <c:pt idx="3">
                  <c:v>Apr 2025</c:v>
                </c:pt>
                <c:pt idx="4">
                  <c:v>May 2025</c:v>
                </c:pt>
                <c:pt idx="5">
                  <c:v>Jun 2025</c:v>
                </c:pt>
                <c:pt idx="6">
                  <c:v>Jul 2025</c:v>
                </c:pt>
                <c:pt idx="7">
                  <c:v>Aug 2025</c:v>
                </c:pt>
              </c:strCache>
            </c:strRef>
          </c:cat>
          <c:val>
            <c:numRef>
              <c:f>'Summary Tables'!$B$5:$B$12</c:f>
              <c:numCache>
                <c:formatCode>\₱#,##0.0,,\M</c:formatCode>
                <c:ptCount val="8"/>
                <c:pt idx="0">
                  <c:v>1425900</c:v>
                </c:pt>
                <c:pt idx="1">
                  <c:v>0</c:v>
                </c:pt>
                <c:pt idx="2">
                  <c:v>0</c:v>
                </c:pt>
                <c:pt idx="3">
                  <c:v>0</c:v>
                </c:pt>
                <c:pt idx="4">
                  <c:v>0</c:v>
                </c:pt>
                <c:pt idx="5">
                  <c:v>1522120700</c:v>
                </c:pt>
                <c:pt idx="6">
                  <c:v>1490582700</c:v>
                </c:pt>
                <c:pt idx="7">
                  <c:v>1445367500</c:v>
                </c:pt>
              </c:numCache>
            </c:numRef>
          </c:val>
        </c:ser>
        <c:gapWidth val="150"/>
        <c:overlap val="0"/>
        <c:axId val="12755669"/>
        <c:axId val="70278269"/>
      </c:barChart>
      <c:catAx>
        <c:axId val="12755669"/>
        <c:scaling>
          <c:orientation val="minMax"/>
        </c:scaling>
        <c:delete val="0"/>
        <c:axPos val="b"/>
        <c:numFmt formatCode="mmm\ 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278269"/>
        <c:crosses val="autoZero"/>
        <c:auto val="1"/>
        <c:lblAlgn val="ctr"/>
        <c:lblOffset val="100"/>
        <c:noMultiLvlLbl val="0"/>
      </c:catAx>
      <c:valAx>
        <c:axId val="70278269"/>
        <c:scaling>
          <c:orientation val="minMax"/>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7556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Client Type</a:t>
            </a:r>
          </a:p>
        </c:rich>
      </c:tx>
      <c:overlay val="0"/>
      <c:spPr>
        <a:noFill/>
        <a:ln w="0">
          <a:noFill/>
        </a:ln>
      </c:spPr>
    </c:title>
    <c:autoTitleDeleted val="0"/>
    <c:plotArea>
      <c:barChart>
        <c:barDir val="col"/>
        <c:grouping val="clustered"/>
        <c:varyColors val="0"/>
        <c:ser>
          <c:idx val="0"/>
          <c:order val="0"/>
          <c:tx>
            <c:strRef>
              <c:f>'Summary Tables'!F4</c:f>
              <c:strCache>
                <c:ptCount val="1"/>
                <c:pt idx="0">
                  <c:v>Revenue</c:v>
                </c:pt>
              </c:strCache>
            </c:strRef>
          </c:tx>
          <c:spPr>
            <a:solidFill>
              <a:srgbClr val="2f6db5"/>
            </a:solidFill>
            <a:ln w="9360">
              <a:solidFill>
                <a:srgbClr val="2f6db5"/>
              </a:solidFill>
              <a:round/>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Tables'!$E$5:$E$7</c:f>
              <c:strCache>
                <c:ptCount val="3"/>
                <c:pt idx="0">
                  <c:v>Retail</c:v>
                </c:pt>
                <c:pt idx="1">
                  <c:v>Wholesale</c:v>
                </c:pt>
                <c:pt idx="2">
                  <c:v>Unknown</c:v>
                </c:pt>
              </c:strCache>
            </c:strRef>
          </c:cat>
          <c:val>
            <c:numRef>
              <c:f>'Summary Tables'!$F$5:$F$7</c:f>
              <c:numCache>
                <c:formatCode>\₱#,##0.0,,\M</c:formatCode>
                <c:ptCount val="3"/>
                <c:pt idx="0">
                  <c:v>2387945300</c:v>
                </c:pt>
                <c:pt idx="1">
                  <c:v>2036324900</c:v>
                </c:pt>
                <c:pt idx="2">
                  <c:v>35226600</c:v>
                </c:pt>
              </c:numCache>
            </c:numRef>
          </c:val>
        </c:ser>
        <c:gapWidth val="150"/>
        <c:overlap val="0"/>
        <c:axId val="12092070"/>
        <c:axId val="13405692"/>
      </c:barChart>
      <c:catAx>
        <c:axId val="120920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405692"/>
        <c:crosses val="autoZero"/>
        <c:auto val="1"/>
        <c:lblAlgn val="ctr"/>
        <c:lblOffset val="100"/>
        <c:noMultiLvlLbl val="0"/>
      </c:catAx>
      <c:valAx>
        <c:axId val="13405692"/>
        <c:scaling>
          <c:orientation val="minMax"/>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0920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Payment Method</a:t>
            </a:r>
          </a:p>
        </c:rich>
      </c:tx>
      <c:overlay val="0"/>
      <c:spPr>
        <a:noFill/>
        <a:ln w="0">
          <a:noFill/>
        </a:ln>
      </c:spPr>
    </c:title>
    <c:autoTitleDeleted val="0"/>
    <c:plotArea>
      <c:pieChart>
        <c:varyColors val="1"/>
        <c:ser>
          <c:idx val="0"/>
          <c:order val="0"/>
          <c:tx>
            <c:strRef>
              <c:f>'Summary Tables'!J4</c:f>
              <c:strCache>
                <c:ptCount val="1"/>
                <c:pt idx="0">
                  <c:v>Revenue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'Summary Tables'!$I$5:$I$8</c:f>
              <c:strCache>
                <c:ptCount val="4"/>
                <c:pt idx="0">
                  <c:v>Credit Card</c:v>
                </c:pt>
                <c:pt idx="1">
                  <c:v>Transfer</c:v>
                </c:pt>
                <c:pt idx="2">
                  <c:v>Cash</c:v>
                </c:pt>
                <c:pt idx="3">
                  <c:v>Unknown</c:v>
                </c:pt>
              </c:strCache>
            </c:strRef>
          </c:cat>
          <c:val>
            <c:numRef>
              <c:f>'Summary Tables'!$J$5:$J$8</c:f>
              <c:numCache>
                <c:formatCode>\₱#,##0.0,,\M</c:formatCode>
                <c:ptCount val="4"/>
                <c:pt idx="0">
                  <c:v>1569820600</c:v>
                </c:pt>
                <c:pt idx="1">
                  <c:v>1431534300</c:v>
                </c:pt>
                <c:pt idx="2">
                  <c:v>1427338800</c:v>
                </c:pt>
                <c:pt idx="3">
                  <c:v>30803100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Products by Revenue</a:t>
            </a:r>
          </a:p>
        </c:rich>
      </c:tx>
      <c:overlay val="0"/>
      <c:spPr>
        <a:noFill/>
        <a:ln w="0">
          <a:noFill/>
        </a:ln>
      </c:spPr>
    </c:title>
    <c:autoTitleDeleted val="0"/>
    <c:plotArea>
      <c:barChart>
        <c:barDir val="bar"/>
        <c:grouping val="clustered"/>
        <c:varyColors val="0"/>
        <c:ser>
          <c:idx val="0"/>
          <c:order val="0"/>
          <c:tx>
            <c:strRef>
              <c:f>'Summary Tables'!N4</c:f>
              <c:strCache>
                <c:ptCount val="1"/>
                <c:pt idx="0">
                  <c:v>Revenue</c:v>
                </c:pt>
              </c:strCache>
            </c:strRef>
          </c:tx>
          <c:spPr>
            <a:solidFill>
              <a:srgbClr val="2f6db5"/>
            </a:solidFill>
            <a:ln w="9360">
              <a:solidFill>
                <a:srgbClr val="2f6db5"/>
              </a:solidFill>
              <a:round/>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Tables'!$M$5:$M$14</c:f>
              <c:strCache>
                <c:ptCount val="10"/>
                <c:pt idx="0">
                  <c:v>Moto Guzzi V7 Stone</c:v>
                </c:pt>
                <c:pt idx="1">
                  <c:v>Bristol Bobber 650</c:v>
                </c:pt>
                <c:pt idx="2">
                  <c:v>BMW R nineT</c:v>
                </c:pt>
                <c:pt idx="3">
                  <c:v>KTM 790 Duke</c:v>
                </c:pt>
                <c:pt idx="4">
                  <c:v>Honda Rebel 1100</c:v>
                </c:pt>
                <c:pt idx="5">
                  <c:v>Yamaha Serow 250</c:v>
                </c:pt>
                <c:pt idx="6">
                  <c:v>CFMoto 650MT</c:v>
                </c:pt>
                <c:pt idx="7">
                  <c:v>Vespa GTS Super 300</c:v>
                </c:pt>
                <c:pt idx="8">
                  <c:v>Honda CBR500R</c:v>
                </c:pt>
                <c:pt idx="9">
                  <c:v>BMW G 310 GS</c:v>
                </c:pt>
              </c:strCache>
            </c:strRef>
          </c:cat>
          <c:val>
            <c:numRef>
              <c:f>'Summary Tables'!$N$5:$N$14</c:f>
              <c:numCache>
                <c:formatCode>\₱#,##0.0,,\M</c:formatCode>
                <c:ptCount val="10"/>
                <c:pt idx="0">
                  <c:v>327275000</c:v>
                </c:pt>
                <c:pt idx="1">
                  <c:v>228850000</c:v>
                </c:pt>
                <c:pt idx="2">
                  <c:v>225865000</c:v>
                </c:pt>
                <c:pt idx="3">
                  <c:v>217437000</c:v>
                </c:pt>
                <c:pt idx="4">
                  <c:v>166400000</c:v>
                </c:pt>
                <c:pt idx="5">
                  <c:v>148304000</c:v>
                </c:pt>
                <c:pt idx="6">
                  <c:v>147315000</c:v>
                </c:pt>
                <c:pt idx="7">
                  <c:v>144474000</c:v>
                </c:pt>
                <c:pt idx="8">
                  <c:v>143541000</c:v>
                </c:pt>
                <c:pt idx="9">
                  <c:v>136320000</c:v>
                </c:pt>
              </c:numCache>
            </c:numRef>
          </c:val>
        </c:ser>
        <c:gapWidth val="150"/>
        <c:overlap val="0"/>
        <c:axId val="49274106"/>
        <c:axId val="34452608"/>
      </c:barChart>
      <c:catAx>
        <c:axId val="4927410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452608"/>
        <c:crosses val="autoZero"/>
        <c:auto val="1"/>
        <c:lblAlgn val="ctr"/>
        <c:lblOffset val="100"/>
        <c:noMultiLvlLbl val="0"/>
      </c:catAx>
      <c:valAx>
        <c:axId val="34452608"/>
        <c:scaling>
          <c:orientation val="minMax"/>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274106"/>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Products by Units Sold</a:t>
            </a:r>
          </a:p>
        </c:rich>
      </c:tx>
      <c:overlay val="0"/>
      <c:spPr>
        <a:noFill/>
        <a:ln w="0">
          <a:noFill/>
        </a:ln>
      </c:spPr>
    </c:title>
    <c:autoTitleDeleted val="0"/>
    <c:plotArea>
      <c:barChart>
        <c:barDir val="bar"/>
        <c:grouping val="clustered"/>
        <c:varyColors val="0"/>
        <c:ser>
          <c:idx val="0"/>
          <c:order val="0"/>
          <c:tx>
            <c:strRef>
              <c:f>'Summary Tables'!S4</c:f>
              <c:strCache>
                <c:ptCount val="1"/>
                <c:pt idx="0">
                  <c:v>Units</c:v>
                </c:pt>
              </c:strCache>
            </c:strRef>
          </c:tx>
          <c:spPr>
            <a:solidFill>
              <a:srgbClr val="2a9d8f"/>
            </a:solidFill>
            <a:ln w="9360">
              <a:solidFill>
                <a:srgbClr val="2a9d8f"/>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Tables'!$Q$5:$Q$14</c:f>
              <c:strCache>
                <c:ptCount val="10"/>
                <c:pt idx="0">
                  <c:v>Bristol Bobber 650</c:v>
                </c:pt>
                <c:pt idx="1">
                  <c:v>Bajaj CT125</c:v>
                </c:pt>
                <c:pt idx="2">
                  <c:v>CFMoto 300SR</c:v>
                </c:pt>
                <c:pt idx="3">
                  <c:v>Yamaha Serow 250</c:v>
                </c:pt>
                <c:pt idx="4">
                  <c:v>Yamaha FZi 150</c:v>
                </c:pt>
                <c:pt idx="5">
                  <c:v>Zontes 310X</c:v>
                </c:pt>
                <c:pt idx="6">
                  <c:v>Moto Guzzi V7 Stone</c:v>
                </c:pt>
                <c:pt idx="7">
                  <c:v>Royal Enfield Classic 350</c:v>
                </c:pt>
                <c:pt idx="8">
                  <c:v>Honda ADV 160</c:v>
                </c:pt>
                <c:pt idx="9">
                  <c:v>CFMoto 300NK</c:v>
                </c:pt>
              </c:strCache>
            </c:strRef>
          </c:cat>
          <c:val>
            <c:numRef>
              <c:f>'Summary Tables'!$S$5:$S$14</c:f>
              <c:numCache>
                <c:formatCode>#,##0</c:formatCode>
                <c:ptCount val="10"/>
                <c:pt idx="0">
                  <c:v>575</c:v>
                </c:pt>
                <c:pt idx="1">
                  <c:v>509</c:v>
                </c:pt>
                <c:pt idx="2">
                  <c:v>496</c:v>
                </c:pt>
                <c:pt idx="3">
                  <c:v>496</c:v>
                </c:pt>
                <c:pt idx="4">
                  <c:v>482</c:v>
                </c:pt>
                <c:pt idx="5">
                  <c:v>480</c:v>
                </c:pt>
                <c:pt idx="6">
                  <c:v>475</c:v>
                </c:pt>
                <c:pt idx="7">
                  <c:v>458</c:v>
                </c:pt>
                <c:pt idx="8">
                  <c:v>457</c:v>
                </c:pt>
                <c:pt idx="9">
                  <c:v>428</c:v>
                </c:pt>
              </c:numCache>
            </c:numRef>
          </c:val>
        </c:ser>
        <c:gapWidth val="150"/>
        <c:overlap val="0"/>
        <c:axId val="59855043"/>
        <c:axId val="97723462"/>
      </c:barChart>
      <c:catAx>
        <c:axId val="5985504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723462"/>
        <c:crosses val="autoZero"/>
        <c:auto val="1"/>
        <c:lblAlgn val="ctr"/>
        <c:lblOffset val="100"/>
        <c:noMultiLvlLbl val="0"/>
      </c:catAx>
      <c:valAx>
        <c:axId val="9772346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855043"/>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Product Records per Category</a:t>
            </a:r>
          </a:p>
        </c:rich>
      </c:tx>
      <c:overlay val="0"/>
      <c:spPr>
        <a:noFill/>
        <a:ln w="0">
          <a:noFill/>
        </a:ln>
      </c:spPr>
    </c:title>
    <c:autoTitleDeleted val="0"/>
    <c:plotArea>
      <c:barChart>
        <c:barDir val="bar"/>
        <c:grouping val="clustered"/>
        <c:varyColors val="0"/>
        <c:ser>
          <c:idx val="0"/>
          <c:order val="0"/>
          <c:tx>
            <c:strRef>
              <c:f>'Summary Tables'!B21</c:f>
              <c:strCache>
                <c:ptCount val="1"/>
                <c:pt idx="0">
                  <c:v>Products</c:v>
                </c:pt>
              </c:strCache>
            </c:strRef>
          </c:tx>
          <c:spPr>
            <a:solidFill>
              <a:srgbClr val="2f6db5"/>
            </a:solidFill>
            <a:ln w="9360">
              <a:solidFill>
                <a:srgbClr val="2f6db5"/>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Tables'!$A$22:$A$38</c:f>
              <c:strCache>
                <c:ptCount val="17"/>
                <c:pt idx="0">
                  <c:v>Scooter</c:v>
                </c:pt>
                <c:pt idx="1">
                  <c:v>Naked Bike</c:v>
                </c:pt>
                <c:pt idx="2">
                  <c:v>Sport</c:v>
                </c:pt>
                <c:pt idx="3">
                  <c:v>Adventure</c:v>
                </c:pt>
                <c:pt idx="4">
                  <c:v>Cruiser</c:v>
                </c:pt>
                <c:pt idx="5">
                  <c:v>Underbone</c:v>
                </c:pt>
                <c:pt idx="6">
                  <c:v>Dual-Sport</c:v>
                </c:pt>
                <c:pt idx="7">
                  <c:v>Cafe Racer</c:v>
                </c:pt>
                <c:pt idx="8">
                  <c:v>Commuter</c:v>
                </c:pt>
                <c:pt idx="9">
                  <c:v>Heritage</c:v>
                </c:pt>
                <c:pt idx="10">
                  <c:v>Classic</c:v>
                </c:pt>
                <c:pt idx="11">
                  <c:v>Retro</c:v>
                </c:pt>
                <c:pt idx="12">
                  <c:v>Sport Touring</c:v>
                </c:pt>
                <c:pt idx="13">
                  <c:v>Scrambler</c:v>
                </c:pt>
                <c:pt idx="14">
                  <c:v>Standard</c:v>
                </c:pt>
                <c:pt idx="15">
                  <c:v>Touring</c:v>
                </c:pt>
                <c:pt idx="16">
                  <c:v>Street</c:v>
                </c:pt>
              </c:strCache>
            </c:strRef>
          </c:cat>
          <c:val>
            <c:numRef>
              <c:f>'Summary Tables'!$B$22:$B$38</c:f>
              <c:numCache>
                <c:formatCode>0</c:formatCode>
                <c:ptCount val="17"/>
                <c:pt idx="0">
                  <c:v>12</c:v>
                </c:pt>
                <c:pt idx="1">
                  <c:v>7</c:v>
                </c:pt>
                <c:pt idx="2">
                  <c:v>4</c:v>
                </c:pt>
                <c:pt idx="3">
                  <c:v>4</c:v>
                </c:pt>
                <c:pt idx="4">
                  <c:v>4</c:v>
                </c:pt>
                <c:pt idx="5">
                  <c:v>3</c:v>
                </c:pt>
                <c:pt idx="6">
                  <c:v>3</c:v>
                </c:pt>
                <c:pt idx="7">
                  <c:v>2</c:v>
                </c:pt>
                <c:pt idx="8">
                  <c:v>2</c:v>
                </c:pt>
                <c:pt idx="9">
                  <c:v>2</c:v>
                </c:pt>
                <c:pt idx="10">
                  <c:v>1</c:v>
                </c:pt>
                <c:pt idx="11">
                  <c:v>1</c:v>
                </c:pt>
                <c:pt idx="12">
                  <c:v>1</c:v>
                </c:pt>
                <c:pt idx="13">
                  <c:v>1</c:v>
                </c:pt>
                <c:pt idx="14">
                  <c:v>1</c:v>
                </c:pt>
                <c:pt idx="15">
                  <c:v>1</c:v>
                </c:pt>
                <c:pt idx="16">
                  <c:v>1</c:v>
                </c:pt>
              </c:numCache>
            </c:numRef>
          </c:val>
        </c:ser>
        <c:gapWidth val="150"/>
        <c:overlap val="0"/>
        <c:axId val="58894604"/>
        <c:axId val="60752347"/>
      </c:barChart>
      <c:catAx>
        <c:axId val="5889460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752347"/>
        <c:crosses val="autoZero"/>
        <c:auto val="1"/>
        <c:lblAlgn val="ctr"/>
        <c:lblOffset val="100"/>
        <c:noMultiLvlLbl val="0"/>
      </c:catAx>
      <c:valAx>
        <c:axId val="6075234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894604"/>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Product Category</a:t>
            </a:r>
          </a:p>
        </c:rich>
      </c:tx>
      <c:overlay val="0"/>
      <c:spPr>
        <a:noFill/>
        <a:ln w="0">
          <a:noFill/>
        </a:ln>
      </c:spPr>
    </c:title>
    <c:autoTitleDeleted val="0"/>
    <c:plotArea>
      <c:barChart>
        <c:barDir val="bar"/>
        <c:grouping val="clustered"/>
        <c:varyColors val="0"/>
        <c:ser>
          <c:idx val="0"/>
          <c:order val="0"/>
          <c:tx>
            <c:strRef>
              <c:f>'Summary Tables'!H21</c:f>
              <c:strCache>
                <c:ptCount val="1"/>
                <c:pt idx="0">
                  <c:v>Revenue</c:v>
                </c:pt>
              </c:strCache>
            </c:strRef>
          </c:tx>
          <c:spPr>
            <a:solidFill>
              <a:srgbClr val="2f6db5"/>
            </a:solidFill>
            <a:ln w="9360">
              <a:solidFill>
                <a:srgbClr val="2f6db5"/>
              </a:solidFill>
              <a:round/>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Tables'!$E$22:$E$38</c:f>
              <c:strCache>
                <c:ptCount val="17"/>
                <c:pt idx="0">
                  <c:v>Scooter</c:v>
                </c:pt>
                <c:pt idx="1">
                  <c:v>Cruiser</c:v>
                </c:pt>
                <c:pt idx="2">
                  <c:v>Naked Bike</c:v>
                </c:pt>
                <c:pt idx="3">
                  <c:v>Heritage</c:v>
                </c:pt>
                <c:pt idx="4">
                  <c:v>Adventure</c:v>
                </c:pt>
                <c:pt idx="5">
                  <c:v>Sport</c:v>
                </c:pt>
                <c:pt idx="6">
                  <c:v>Dual-Sport</c:v>
                </c:pt>
                <c:pt idx="7">
                  <c:v>Cafe Racer</c:v>
                </c:pt>
                <c:pt idx="8">
                  <c:v>Touring</c:v>
                </c:pt>
                <c:pt idx="9">
                  <c:v>Classic</c:v>
                </c:pt>
                <c:pt idx="10">
                  <c:v>Underbone</c:v>
                </c:pt>
                <c:pt idx="11">
                  <c:v>Scrambler</c:v>
                </c:pt>
                <c:pt idx="12">
                  <c:v>Sport Touring</c:v>
                </c:pt>
                <c:pt idx="13">
                  <c:v>Retro</c:v>
                </c:pt>
                <c:pt idx="14">
                  <c:v>Commuter</c:v>
                </c:pt>
                <c:pt idx="15">
                  <c:v>Street</c:v>
                </c:pt>
                <c:pt idx="16">
                  <c:v>Standard</c:v>
                </c:pt>
              </c:strCache>
            </c:strRef>
          </c:cat>
          <c:val>
            <c:numRef>
              <c:f>'Summary Tables'!$H$22:$H$38</c:f>
              <c:numCache>
                <c:formatCode>\₱#,##0.0,,\M</c:formatCode>
                <c:ptCount val="17"/>
                <c:pt idx="0">
                  <c:v>747176900</c:v>
                </c:pt>
                <c:pt idx="1">
                  <c:v>635054000</c:v>
                </c:pt>
                <c:pt idx="2">
                  <c:v>563310000</c:v>
                </c:pt>
                <c:pt idx="3">
                  <c:v>553140000</c:v>
                </c:pt>
                <c:pt idx="4">
                  <c:v>392804700</c:v>
                </c:pt>
                <c:pt idx="5">
                  <c:v>372471000</c:v>
                </c:pt>
                <c:pt idx="6">
                  <c:v>306517800</c:v>
                </c:pt>
                <c:pt idx="7">
                  <c:v>169052000</c:v>
                </c:pt>
                <c:pt idx="8">
                  <c:v>147315000</c:v>
                </c:pt>
                <c:pt idx="9">
                  <c:v>114500000</c:v>
                </c:pt>
                <c:pt idx="10">
                  <c:v>90240800</c:v>
                </c:pt>
                <c:pt idx="11">
                  <c:v>89680000</c:v>
                </c:pt>
                <c:pt idx="12">
                  <c:v>83558200</c:v>
                </c:pt>
                <c:pt idx="13">
                  <c:v>65884000</c:v>
                </c:pt>
                <c:pt idx="14">
                  <c:v>53425100</c:v>
                </c:pt>
                <c:pt idx="15">
                  <c:v>48151800</c:v>
                </c:pt>
                <c:pt idx="16">
                  <c:v>27215500</c:v>
                </c:pt>
              </c:numCache>
            </c:numRef>
          </c:val>
        </c:ser>
        <c:gapWidth val="150"/>
        <c:overlap val="0"/>
        <c:axId val="34687910"/>
        <c:axId val="75457721"/>
      </c:barChart>
      <c:catAx>
        <c:axId val="3468791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457721"/>
        <c:crosses val="autoZero"/>
        <c:auto val="1"/>
        <c:lblAlgn val="ctr"/>
        <c:lblOffset val="100"/>
        <c:noMultiLvlLbl val="0"/>
      </c:catAx>
      <c:valAx>
        <c:axId val="75457721"/>
        <c:scaling>
          <c:orientation val="minMax"/>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687910"/>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Revenue per Model</a:t>
            </a:r>
          </a:p>
        </c:rich>
      </c:tx>
      <c:overlay val="0"/>
      <c:spPr>
        <a:noFill/>
        <a:ln w="0">
          <a:noFill/>
        </a:ln>
      </c:spPr>
    </c:title>
    <c:autoTitleDeleted val="0"/>
    <c:plotArea>
      <c:barChart>
        <c:barDir val="bar"/>
        <c:grouping val="clustered"/>
        <c:varyColors val="0"/>
        <c:ser>
          <c:idx val="0"/>
          <c:order val="0"/>
          <c:tx>
            <c:strRef>
              <c:f>'Summary Tables'!J21</c:f>
              <c:strCache>
                <c:ptCount val="1"/>
                <c:pt idx="0">
                  <c:v>Revenue per Model</c:v>
                </c:pt>
              </c:strCache>
            </c:strRef>
          </c:tx>
          <c:spPr>
            <a:solidFill>
              <a:srgbClr val="2a9d8f"/>
            </a:solidFill>
            <a:ln w="9360">
              <a:solidFill>
                <a:srgbClr val="2a9d8f"/>
              </a:solidFill>
              <a:round/>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Tables'!$E$22:$E$38</c:f>
              <c:strCache>
                <c:ptCount val="17"/>
                <c:pt idx="0">
                  <c:v>Scooter</c:v>
                </c:pt>
                <c:pt idx="1">
                  <c:v>Cruiser</c:v>
                </c:pt>
                <c:pt idx="2">
                  <c:v>Naked Bike</c:v>
                </c:pt>
                <c:pt idx="3">
                  <c:v>Heritage</c:v>
                </c:pt>
                <c:pt idx="4">
                  <c:v>Adventure</c:v>
                </c:pt>
                <c:pt idx="5">
                  <c:v>Sport</c:v>
                </c:pt>
                <c:pt idx="6">
                  <c:v>Dual-Sport</c:v>
                </c:pt>
                <c:pt idx="7">
                  <c:v>Cafe Racer</c:v>
                </c:pt>
                <c:pt idx="8">
                  <c:v>Touring</c:v>
                </c:pt>
                <c:pt idx="9">
                  <c:v>Classic</c:v>
                </c:pt>
                <c:pt idx="10">
                  <c:v>Underbone</c:v>
                </c:pt>
                <c:pt idx="11">
                  <c:v>Scrambler</c:v>
                </c:pt>
                <c:pt idx="12">
                  <c:v>Sport Touring</c:v>
                </c:pt>
                <c:pt idx="13">
                  <c:v>Retro</c:v>
                </c:pt>
                <c:pt idx="14">
                  <c:v>Commuter</c:v>
                </c:pt>
                <c:pt idx="15">
                  <c:v>Street</c:v>
                </c:pt>
                <c:pt idx="16">
                  <c:v>Standard</c:v>
                </c:pt>
              </c:strCache>
            </c:strRef>
          </c:cat>
          <c:val>
            <c:numRef>
              <c:f>'Summary Tables'!$J$22:$J$38</c:f>
              <c:numCache>
                <c:formatCode>\₱#,##0.0,,\M</c:formatCode>
                <c:ptCount val="17"/>
                <c:pt idx="0">
                  <c:v>62264741.6666667</c:v>
                </c:pt>
                <c:pt idx="1">
                  <c:v>158763500</c:v>
                </c:pt>
                <c:pt idx="2">
                  <c:v>80472857.1428572</c:v>
                </c:pt>
                <c:pt idx="3">
                  <c:v>276570000</c:v>
                </c:pt>
                <c:pt idx="4">
                  <c:v>98201175</c:v>
                </c:pt>
                <c:pt idx="5">
                  <c:v>93117750</c:v>
                </c:pt>
                <c:pt idx="6">
                  <c:v>102172600</c:v>
                </c:pt>
                <c:pt idx="7">
                  <c:v>84526000</c:v>
                </c:pt>
                <c:pt idx="8">
                  <c:v>147315000</c:v>
                </c:pt>
                <c:pt idx="9">
                  <c:v>114500000</c:v>
                </c:pt>
                <c:pt idx="10">
                  <c:v>30080266.6666667</c:v>
                </c:pt>
                <c:pt idx="11">
                  <c:v>89680000</c:v>
                </c:pt>
                <c:pt idx="12">
                  <c:v>83558200</c:v>
                </c:pt>
                <c:pt idx="13">
                  <c:v>65884000</c:v>
                </c:pt>
                <c:pt idx="14">
                  <c:v>26712550</c:v>
                </c:pt>
                <c:pt idx="15">
                  <c:v>48151800</c:v>
                </c:pt>
                <c:pt idx="16">
                  <c:v>27215500</c:v>
                </c:pt>
              </c:numCache>
            </c:numRef>
          </c:val>
        </c:ser>
        <c:gapWidth val="150"/>
        <c:overlap val="0"/>
        <c:axId val="73965412"/>
        <c:axId val="68983087"/>
      </c:barChart>
      <c:catAx>
        <c:axId val="7396541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983087"/>
        <c:crosses val="autoZero"/>
        <c:auto val="1"/>
        <c:lblAlgn val="ctr"/>
        <c:lblOffset val="100"/>
        <c:noMultiLvlLbl val="0"/>
      </c:catAx>
      <c:valAx>
        <c:axId val="68983087"/>
        <c:scaling>
          <c:orientation val="minMax"/>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965412"/>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0</xdr:rowOff>
    </xdr:from>
    <xdr:to>
      <xdr:col>5</xdr:col>
      <xdr:colOff>481320</xdr:colOff>
      <xdr:row>23</xdr:row>
      <xdr:rowOff>68400</xdr:rowOff>
    </xdr:to>
    <xdr:graphicFrame>
      <xdr:nvGraphicFramePr>
        <xdr:cNvPr id="0" name="Chart 1"/>
        <xdr:cNvGraphicFramePr/>
      </xdr:nvGraphicFramePr>
      <xdr:xfrm>
        <a:off x="0" y="2476440"/>
        <a:ext cx="4535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11</xdr:col>
      <xdr:colOff>481320</xdr:colOff>
      <xdr:row>23</xdr:row>
      <xdr:rowOff>68400</xdr:rowOff>
    </xdr:to>
    <xdr:graphicFrame>
      <xdr:nvGraphicFramePr>
        <xdr:cNvPr id="1" name="Chart 2"/>
        <xdr:cNvGraphicFramePr/>
      </xdr:nvGraphicFramePr>
      <xdr:xfrm>
        <a:off x="4865400" y="2476440"/>
        <a:ext cx="4535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9</xdr:row>
      <xdr:rowOff>0</xdr:rowOff>
    </xdr:from>
    <xdr:to>
      <xdr:col>17</xdr:col>
      <xdr:colOff>481320</xdr:colOff>
      <xdr:row>23</xdr:row>
      <xdr:rowOff>68400</xdr:rowOff>
    </xdr:to>
    <xdr:graphicFrame>
      <xdr:nvGraphicFramePr>
        <xdr:cNvPr id="2" name="Chart 3"/>
        <xdr:cNvGraphicFramePr/>
      </xdr:nvGraphicFramePr>
      <xdr:xfrm>
        <a:off x="9730800" y="2476440"/>
        <a:ext cx="4535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25</xdr:row>
      <xdr:rowOff>0</xdr:rowOff>
    </xdr:from>
    <xdr:to>
      <xdr:col>8</xdr:col>
      <xdr:colOff>352440</xdr:colOff>
      <xdr:row>41</xdr:row>
      <xdr:rowOff>47520</xdr:rowOff>
    </xdr:to>
    <xdr:graphicFrame>
      <xdr:nvGraphicFramePr>
        <xdr:cNvPr id="3" name="Chart 4"/>
        <xdr:cNvGraphicFramePr/>
      </xdr:nvGraphicFramePr>
      <xdr:xfrm>
        <a:off x="0" y="5524560"/>
        <a:ext cx="6839640" cy="309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25</xdr:row>
      <xdr:rowOff>0</xdr:rowOff>
    </xdr:from>
    <xdr:to>
      <xdr:col>17</xdr:col>
      <xdr:colOff>352440</xdr:colOff>
      <xdr:row>41</xdr:row>
      <xdr:rowOff>47520</xdr:rowOff>
    </xdr:to>
    <xdr:graphicFrame>
      <xdr:nvGraphicFramePr>
        <xdr:cNvPr id="4" name="Chart 5"/>
        <xdr:cNvGraphicFramePr/>
      </xdr:nvGraphicFramePr>
      <xdr:xfrm>
        <a:off x="7297920" y="5524560"/>
        <a:ext cx="6839640" cy="3095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44</xdr:row>
      <xdr:rowOff>0</xdr:rowOff>
    </xdr:from>
    <xdr:to>
      <xdr:col>5</xdr:col>
      <xdr:colOff>481320</xdr:colOff>
      <xdr:row>63</xdr:row>
      <xdr:rowOff>159840</xdr:rowOff>
    </xdr:to>
    <xdr:graphicFrame>
      <xdr:nvGraphicFramePr>
        <xdr:cNvPr id="5" name="Chart 6"/>
        <xdr:cNvGraphicFramePr/>
      </xdr:nvGraphicFramePr>
      <xdr:xfrm>
        <a:off x="0" y="9277200"/>
        <a:ext cx="4535640" cy="37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0</xdr:colOff>
      <xdr:row>44</xdr:row>
      <xdr:rowOff>0</xdr:rowOff>
    </xdr:from>
    <xdr:to>
      <xdr:col>11</xdr:col>
      <xdr:colOff>481320</xdr:colOff>
      <xdr:row>63</xdr:row>
      <xdr:rowOff>159840</xdr:rowOff>
    </xdr:to>
    <xdr:graphicFrame>
      <xdr:nvGraphicFramePr>
        <xdr:cNvPr id="6" name="Chart 7"/>
        <xdr:cNvGraphicFramePr/>
      </xdr:nvGraphicFramePr>
      <xdr:xfrm>
        <a:off x="4865400" y="9277200"/>
        <a:ext cx="4535640" cy="377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0</xdr:colOff>
      <xdr:row>44</xdr:row>
      <xdr:rowOff>0</xdr:rowOff>
    </xdr:from>
    <xdr:to>
      <xdr:col>17</xdr:col>
      <xdr:colOff>481320</xdr:colOff>
      <xdr:row>63</xdr:row>
      <xdr:rowOff>159840</xdr:rowOff>
    </xdr:to>
    <xdr:graphicFrame>
      <xdr:nvGraphicFramePr>
        <xdr:cNvPr id="7" name="Chart 8"/>
        <xdr:cNvGraphicFramePr/>
      </xdr:nvGraphicFramePr>
      <xdr:xfrm>
        <a:off x="9730800" y="9277200"/>
        <a:ext cx="4535640" cy="377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355B"/>
    <pageSetUpPr fitToPage="false"/>
  </sheetPr>
  <dimension ref="A1:R1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8" min="1" style="0" width="11.5"/>
  </cols>
  <sheetData>
    <row r="1" customFormat="false" ht="37.5" hidden="false" customHeight="true" outlineLevel="0" collapsed="false">
      <c r="A1" s="1" t="s">
        <v>0</v>
      </c>
      <c r="B1" s="1"/>
      <c r="C1" s="1"/>
      <c r="D1" s="1"/>
      <c r="E1" s="1"/>
      <c r="F1" s="1"/>
      <c r="G1" s="1"/>
      <c r="H1" s="1"/>
      <c r="I1" s="1"/>
      <c r="J1" s="1"/>
      <c r="K1" s="1"/>
      <c r="L1" s="1"/>
      <c r="M1" s="1"/>
      <c r="N1" s="1"/>
      <c r="O1" s="1"/>
      <c r="P1" s="1"/>
      <c r="Q1" s="1"/>
      <c r="R1" s="1"/>
    </row>
    <row r="2" customFormat="false" ht="15" hidden="false" customHeight="false" outlineLevel="0" collapsed="false">
      <c r="A2" s="2" t="s">
        <v>1</v>
      </c>
      <c r="B2" s="2"/>
      <c r="C2" s="2"/>
      <c r="D2" s="2"/>
      <c r="E2" s="2"/>
      <c r="F2" s="2"/>
      <c r="G2" s="2"/>
      <c r="H2" s="2"/>
      <c r="I2" s="2"/>
      <c r="J2" s="2"/>
      <c r="K2" s="2"/>
      <c r="L2" s="2"/>
      <c r="M2" s="2"/>
      <c r="N2" s="2"/>
      <c r="O2" s="2"/>
      <c r="P2" s="2"/>
      <c r="Q2" s="2"/>
      <c r="R2" s="2"/>
    </row>
    <row r="4" customFormat="false" ht="25.5" hidden="false" customHeight="true" outlineLevel="0" collapsed="false">
      <c r="A4" s="3" t="s">
        <v>2</v>
      </c>
      <c r="B4" s="3"/>
      <c r="C4" s="3"/>
      <c r="D4" s="3"/>
      <c r="E4" s="3"/>
      <c r="F4" s="3"/>
      <c r="G4" s="3"/>
      <c r="H4" s="3"/>
      <c r="I4" s="3"/>
      <c r="J4" s="3"/>
      <c r="K4" s="3"/>
      <c r="L4" s="3"/>
      <c r="M4" s="3"/>
      <c r="N4" s="3"/>
      <c r="O4" s="3"/>
      <c r="P4" s="3"/>
      <c r="Q4" s="3"/>
      <c r="R4" s="3"/>
    </row>
    <row r="5" customFormat="false" ht="15" hidden="false" customHeight="false" outlineLevel="0" collapsed="false">
      <c r="A5" s="4" t="s">
        <v>3</v>
      </c>
      <c r="B5" s="4"/>
      <c r="C5" s="4"/>
      <c r="D5" s="4" t="s">
        <v>4</v>
      </c>
      <c r="E5" s="4"/>
      <c r="F5" s="4"/>
      <c r="G5" s="4" t="s">
        <v>5</v>
      </c>
      <c r="H5" s="4"/>
      <c r="I5" s="4"/>
      <c r="J5" s="4" t="s">
        <v>6</v>
      </c>
      <c r="K5" s="4"/>
      <c r="L5" s="4"/>
      <c r="M5" s="4" t="s">
        <v>7</v>
      </c>
      <c r="N5" s="4"/>
      <c r="O5" s="4"/>
      <c r="P5" s="4" t="s">
        <v>8</v>
      </c>
      <c r="Q5" s="4"/>
      <c r="R5" s="4"/>
    </row>
    <row r="6" customFormat="false" ht="31.5" hidden="false" customHeight="true" outlineLevel="0" collapsed="false">
      <c r="A6" s="5" t="n">
        <f aca="false">SUM('Sales Data'!$F$2:$F$995)</f>
        <v>4459496800</v>
      </c>
      <c r="B6" s="5"/>
      <c r="C6" s="5"/>
      <c r="D6" s="6" t="n">
        <f aca="false">SUM('Sales Data'!$E$2:$E$995)</f>
        <v>17619</v>
      </c>
      <c r="E6" s="6"/>
      <c r="F6" s="6"/>
      <c r="G6" s="6" t="n">
        <f aca="false">COUNTA('Sales Data'!$C$2:$C$995)</f>
        <v>994</v>
      </c>
      <c r="H6" s="6"/>
      <c r="I6" s="6"/>
      <c r="J6" s="5" t="n">
        <f aca="false">SUM('Sales Data'!$F$2:$F$995)/COUNTA('Sales Data'!$C$2:$C$995)</f>
        <v>4486415.2917505</v>
      </c>
      <c r="K6" s="5"/>
      <c r="L6" s="5"/>
      <c r="M6" s="7" t="n">
        <f aca="false">COUNTA(Products!$B$2:$B$51)</f>
        <v>50</v>
      </c>
      <c r="N6" s="7"/>
      <c r="O6" s="7"/>
      <c r="P6" s="5" t="n">
        <f aca="false">AVERAGE(Products!$D$2:$D$51)</f>
        <v>257872</v>
      </c>
      <c r="Q6" s="5"/>
      <c r="R6" s="5"/>
    </row>
    <row r="7" customFormat="false" ht="15" hidden="false" customHeight="false" outlineLevel="0" collapsed="false">
      <c r="A7" s="8" t="s">
        <v>9</v>
      </c>
      <c r="B7" s="8"/>
      <c r="C7" s="8"/>
      <c r="D7" s="8" t="s">
        <v>9</v>
      </c>
      <c r="E7" s="8"/>
      <c r="F7" s="8"/>
      <c r="G7" s="8" t="s">
        <v>10</v>
      </c>
      <c r="H7" s="8"/>
      <c r="I7" s="8"/>
      <c r="J7" s="8" t="s">
        <v>11</v>
      </c>
      <c r="K7" s="8"/>
      <c r="L7" s="8"/>
      <c r="M7" s="8" t="s">
        <v>12</v>
      </c>
      <c r="N7" s="8"/>
      <c r="O7" s="8"/>
      <c r="P7" s="8" t="s">
        <v>13</v>
      </c>
      <c r="Q7" s="8"/>
      <c r="R7" s="8"/>
    </row>
    <row r="9" customFormat="false" ht="25.5" hidden="false" customHeight="true" outlineLevel="0" collapsed="false">
      <c r="A9" s="3" t="s">
        <v>14</v>
      </c>
      <c r="B9" s="3"/>
      <c r="C9" s="3"/>
      <c r="D9" s="3"/>
      <c r="E9" s="3"/>
      <c r="F9" s="3"/>
      <c r="G9" s="3"/>
      <c r="H9" s="3"/>
      <c r="I9" s="3"/>
      <c r="J9" s="3"/>
      <c r="K9" s="3"/>
      <c r="L9" s="3"/>
      <c r="M9" s="3"/>
      <c r="N9" s="3"/>
      <c r="O9" s="3"/>
      <c r="P9" s="3"/>
      <c r="Q9" s="3"/>
      <c r="R9" s="3"/>
    </row>
    <row r="44" customFormat="false" ht="25.5" hidden="false" customHeight="true" outlineLevel="0" collapsed="false">
      <c r="A44" s="3" t="s">
        <v>15</v>
      </c>
      <c r="B44" s="3"/>
      <c r="C44" s="3"/>
      <c r="D44" s="3"/>
      <c r="E44" s="3"/>
      <c r="F44" s="3"/>
      <c r="G44" s="3"/>
      <c r="H44" s="3"/>
      <c r="I44" s="3"/>
      <c r="J44" s="3"/>
      <c r="K44" s="3"/>
      <c r="L44" s="3"/>
      <c r="M44" s="3"/>
      <c r="N44" s="3"/>
      <c r="O44" s="3"/>
      <c r="P44" s="3"/>
      <c r="Q44" s="3"/>
      <c r="R44" s="3"/>
    </row>
    <row r="67" customFormat="false" ht="25.5" hidden="false" customHeight="true" outlineLevel="0" collapsed="false">
      <c r="A67" s="3" t="s">
        <v>16</v>
      </c>
      <c r="B67" s="3"/>
      <c r="C67" s="3"/>
      <c r="D67" s="3"/>
      <c r="E67" s="3"/>
      <c r="F67" s="3"/>
      <c r="G67" s="3"/>
      <c r="H67" s="3"/>
      <c r="I67" s="3"/>
      <c r="J67" s="3"/>
      <c r="K67" s="3"/>
      <c r="L67" s="3"/>
      <c r="M67" s="3"/>
      <c r="N67" s="3"/>
      <c r="O67" s="3"/>
      <c r="P67" s="3"/>
      <c r="Q67" s="3"/>
      <c r="R67" s="3"/>
    </row>
    <row r="68" customFormat="false" ht="30" hidden="false" customHeight="true" outlineLevel="0" collapsed="false">
      <c r="A68" s="9" t="s">
        <v>17</v>
      </c>
      <c r="B68" s="9"/>
      <c r="C68" s="9"/>
      <c r="D68" s="9"/>
      <c r="E68" s="9"/>
      <c r="F68" s="9"/>
      <c r="G68" s="9"/>
      <c r="H68" s="9"/>
      <c r="I68" s="9"/>
      <c r="J68" s="9"/>
      <c r="K68" s="9"/>
      <c r="L68" s="9"/>
      <c r="M68" s="9"/>
      <c r="N68" s="9"/>
      <c r="O68" s="9"/>
      <c r="P68" s="9"/>
      <c r="Q68" s="9"/>
      <c r="R68" s="9"/>
    </row>
    <row r="69" customFormat="false" ht="30" hidden="false" customHeight="true" outlineLevel="0" collapsed="false">
      <c r="A69" s="9" t="s">
        <v>18</v>
      </c>
      <c r="B69" s="9"/>
      <c r="C69" s="9"/>
      <c r="D69" s="9"/>
      <c r="E69" s="9"/>
      <c r="F69" s="9"/>
      <c r="G69" s="9"/>
      <c r="H69" s="9"/>
      <c r="I69" s="9"/>
      <c r="J69" s="9"/>
      <c r="K69" s="9"/>
      <c r="L69" s="9"/>
      <c r="M69" s="9"/>
      <c r="N69" s="9"/>
      <c r="O69" s="9"/>
      <c r="P69" s="9"/>
      <c r="Q69" s="9"/>
      <c r="R69" s="9"/>
    </row>
    <row r="70" customFormat="false" ht="30" hidden="false" customHeight="true" outlineLevel="0" collapsed="false">
      <c r="A70" s="9" t="s">
        <v>19</v>
      </c>
      <c r="B70" s="9"/>
      <c r="C70" s="9"/>
      <c r="D70" s="9"/>
      <c r="E70" s="9"/>
      <c r="F70" s="9"/>
      <c r="G70" s="9"/>
      <c r="H70" s="9"/>
      <c r="I70" s="9"/>
      <c r="J70" s="9"/>
      <c r="K70" s="9"/>
      <c r="L70" s="9"/>
      <c r="M70" s="9"/>
      <c r="N70" s="9"/>
      <c r="O70" s="9"/>
      <c r="P70" s="9"/>
      <c r="Q70" s="9"/>
      <c r="R70" s="9"/>
    </row>
    <row r="71" customFormat="false" ht="30" hidden="false" customHeight="true" outlineLevel="0" collapsed="false">
      <c r="A71" s="9" t="s">
        <v>20</v>
      </c>
      <c r="B71" s="9"/>
      <c r="C71" s="9"/>
      <c r="D71" s="9"/>
      <c r="E71" s="9"/>
      <c r="F71" s="9"/>
      <c r="G71" s="9"/>
      <c r="H71" s="9"/>
      <c r="I71" s="9"/>
      <c r="J71" s="9"/>
      <c r="K71" s="9"/>
      <c r="L71" s="9"/>
      <c r="M71" s="9"/>
      <c r="N71" s="9"/>
      <c r="O71" s="9"/>
      <c r="P71" s="9"/>
      <c r="Q71" s="9"/>
      <c r="R71" s="9"/>
    </row>
    <row r="72" customFormat="false" ht="30" hidden="false" customHeight="true" outlineLevel="0" collapsed="false">
      <c r="A72" s="9" t="s">
        <v>21</v>
      </c>
      <c r="B72" s="9"/>
      <c r="C72" s="9"/>
      <c r="D72" s="9"/>
      <c r="E72" s="9"/>
      <c r="F72" s="9"/>
      <c r="G72" s="9"/>
      <c r="H72" s="9"/>
      <c r="I72" s="9"/>
      <c r="J72" s="9"/>
      <c r="K72" s="9"/>
      <c r="L72" s="9"/>
      <c r="M72" s="9"/>
      <c r="N72" s="9"/>
      <c r="O72" s="9"/>
      <c r="P72" s="9"/>
      <c r="Q72" s="9"/>
      <c r="R72" s="9"/>
    </row>
    <row r="73" customFormat="false" ht="30" hidden="false" customHeight="true" outlineLevel="0" collapsed="false">
      <c r="A73" s="9" t="s">
        <v>22</v>
      </c>
      <c r="B73" s="9"/>
      <c r="C73" s="9"/>
      <c r="D73" s="9"/>
      <c r="E73" s="9"/>
      <c r="F73" s="9"/>
      <c r="G73" s="9"/>
      <c r="H73" s="9"/>
      <c r="I73" s="9"/>
      <c r="J73" s="9"/>
      <c r="K73" s="9"/>
      <c r="L73" s="9"/>
      <c r="M73" s="9"/>
      <c r="N73" s="9"/>
      <c r="O73" s="9"/>
      <c r="P73" s="9"/>
      <c r="Q73" s="9"/>
      <c r="R73" s="9"/>
    </row>
    <row r="75" customFormat="false" ht="25.5" hidden="false" customHeight="true" outlineLevel="0" collapsed="false">
      <c r="A75" s="3" t="s">
        <v>23</v>
      </c>
      <c r="B75" s="3"/>
      <c r="C75" s="3"/>
      <c r="D75" s="3"/>
      <c r="E75" s="3"/>
      <c r="F75" s="3"/>
      <c r="G75" s="3"/>
      <c r="H75" s="3"/>
      <c r="I75" s="3"/>
      <c r="J75" s="3"/>
      <c r="K75" s="3"/>
      <c r="L75" s="3"/>
      <c r="M75" s="3"/>
      <c r="N75" s="3"/>
      <c r="O75" s="3"/>
      <c r="P75" s="3"/>
      <c r="Q75" s="3"/>
      <c r="R75" s="3"/>
    </row>
    <row r="76" customFormat="false" ht="43.5" hidden="false" customHeight="true" outlineLevel="0" collapsed="false">
      <c r="A76" s="9" t="s">
        <v>24</v>
      </c>
      <c r="B76" s="9"/>
      <c r="C76" s="9"/>
      <c r="D76" s="9"/>
      <c r="E76" s="9"/>
      <c r="F76" s="9"/>
      <c r="G76" s="9"/>
      <c r="H76" s="9"/>
      <c r="I76" s="9"/>
      <c r="J76" s="9"/>
      <c r="K76" s="9"/>
      <c r="L76" s="9"/>
      <c r="M76" s="9"/>
      <c r="N76" s="9"/>
      <c r="O76" s="9"/>
      <c r="P76" s="9"/>
      <c r="Q76" s="9"/>
      <c r="R76" s="9"/>
    </row>
    <row r="77" customFormat="false" ht="43.5" hidden="false" customHeight="true" outlineLevel="0" collapsed="false">
      <c r="A77" s="9" t="s">
        <v>25</v>
      </c>
      <c r="B77" s="9"/>
      <c r="C77" s="9"/>
      <c r="D77" s="9"/>
      <c r="E77" s="9"/>
      <c r="F77" s="9"/>
      <c r="G77" s="9"/>
      <c r="H77" s="9"/>
      <c r="I77" s="9"/>
      <c r="J77" s="9"/>
      <c r="K77" s="9"/>
      <c r="L77" s="9"/>
      <c r="M77" s="9"/>
      <c r="N77" s="9"/>
      <c r="O77" s="9"/>
      <c r="P77" s="9"/>
      <c r="Q77" s="9"/>
      <c r="R77" s="9"/>
    </row>
    <row r="78" customFormat="false" ht="43.5" hidden="false" customHeight="true" outlineLevel="0" collapsed="false">
      <c r="A78" s="9" t="s">
        <v>26</v>
      </c>
      <c r="B78" s="9"/>
      <c r="C78" s="9"/>
      <c r="D78" s="9"/>
      <c r="E78" s="9"/>
      <c r="F78" s="9"/>
      <c r="G78" s="9"/>
      <c r="H78" s="9"/>
      <c r="I78" s="9"/>
      <c r="J78" s="9"/>
      <c r="K78" s="9"/>
      <c r="L78" s="9"/>
      <c r="M78" s="9"/>
      <c r="N78" s="9"/>
      <c r="O78" s="9"/>
      <c r="P78" s="9"/>
      <c r="Q78" s="9"/>
      <c r="R78" s="9"/>
    </row>
    <row r="79" customFormat="false" ht="43.5" hidden="false" customHeight="true" outlineLevel="0" collapsed="false">
      <c r="A79" s="9" t="s">
        <v>27</v>
      </c>
      <c r="B79" s="9"/>
      <c r="C79" s="9"/>
      <c r="D79" s="9"/>
      <c r="E79" s="9"/>
      <c r="F79" s="9"/>
      <c r="G79" s="9"/>
      <c r="H79" s="9"/>
      <c r="I79" s="9"/>
      <c r="J79" s="9"/>
      <c r="K79" s="9"/>
      <c r="L79" s="9"/>
      <c r="M79" s="9"/>
      <c r="N79" s="9"/>
      <c r="O79" s="9"/>
      <c r="P79" s="9"/>
      <c r="Q79" s="9"/>
      <c r="R79" s="9"/>
    </row>
    <row r="81" customFormat="false" ht="25.5" hidden="false" customHeight="true" outlineLevel="0" collapsed="false">
      <c r="A81" s="3" t="s">
        <v>28</v>
      </c>
      <c r="B81" s="3"/>
      <c r="C81" s="3"/>
      <c r="D81" s="3"/>
      <c r="E81" s="3"/>
      <c r="F81" s="3"/>
      <c r="G81" s="3"/>
      <c r="H81" s="3"/>
      <c r="I81" s="3"/>
      <c r="J81" s="3"/>
      <c r="K81" s="3"/>
      <c r="L81" s="3"/>
      <c r="M81" s="3"/>
      <c r="N81" s="3"/>
      <c r="O81" s="3"/>
      <c r="P81" s="3"/>
      <c r="Q81" s="3"/>
      <c r="R81" s="3"/>
    </row>
    <row r="82" customFormat="false" ht="15" hidden="false" customHeight="false" outlineLevel="0" collapsed="false">
      <c r="A82" s="10" t="s">
        <v>29</v>
      </c>
      <c r="B82" s="11" t="s">
        <v>30</v>
      </c>
      <c r="C82" s="11"/>
      <c r="D82" s="11"/>
      <c r="E82" s="11" t="s">
        <v>31</v>
      </c>
      <c r="F82" s="11"/>
      <c r="G82" s="11" t="s">
        <v>32</v>
      </c>
      <c r="H82" s="11"/>
      <c r="I82" s="10" t="s">
        <v>33</v>
      </c>
      <c r="J82" s="10" t="s">
        <v>34</v>
      </c>
      <c r="K82" s="10" t="s">
        <v>35</v>
      </c>
      <c r="L82" s="11" t="s">
        <v>36</v>
      </c>
      <c r="M82" s="11"/>
    </row>
    <row r="83" customFormat="false" ht="15" hidden="false" customHeight="false" outlineLevel="0" collapsed="false">
      <c r="A83" s="12" t="n">
        <f aca="false">Products!A2</f>
        <v>37</v>
      </c>
      <c r="B83" s="13" t="str">
        <f aca="false">Products!B2</f>
        <v>Moto Morini X-Cape 650</v>
      </c>
      <c r="C83" s="13"/>
      <c r="D83" s="13"/>
      <c r="E83" s="13" t="str">
        <f aca="false">Products!C2</f>
        <v>Adventure</v>
      </c>
      <c r="F83" s="13"/>
      <c r="G83" s="14" t="n">
        <f aca="false">Products!D2</f>
        <v>369000</v>
      </c>
      <c r="H83" s="14"/>
      <c r="I83" s="15" t="n">
        <f aca="false">Products!E2</f>
        <v>2023</v>
      </c>
      <c r="J83" s="15" t="n">
        <f aca="false">Products!F2</f>
        <v>2024</v>
      </c>
      <c r="K83" s="16" t="n">
        <f aca="false">Products!G2</f>
        <v>297</v>
      </c>
      <c r="L83" s="14" t="n">
        <f aca="false">Products!H2</f>
        <v>109593000</v>
      </c>
      <c r="M83" s="14"/>
    </row>
    <row r="84" customFormat="false" ht="15" hidden="false" customHeight="false" outlineLevel="0" collapsed="false">
      <c r="A84" s="17" t="n">
        <f aca="false">Products!A3</f>
        <v>15</v>
      </c>
      <c r="B84" s="18" t="str">
        <f aca="false">Products!B3</f>
        <v>BMW G 310 GS</v>
      </c>
      <c r="C84" s="18"/>
      <c r="D84" s="18"/>
      <c r="E84" s="18" t="str">
        <f aca="false">Products!C3</f>
        <v>Adventure</v>
      </c>
      <c r="F84" s="18"/>
      <c r="G84" s="19" t="n">
        <f aca="false">Products!D3</f>
        <v>320000</v>
      </c>
      <c r="H84" s="19"/>
      <c r="I84" s="20" t="n">
        <f aca="false">Products!E3</f>
        <v>2023</v>
      </c>
      <c r="J84" s="20" t="n">
        <f aca="false">Products!F3</f>
        <v>2024</v>
      </c>
      <c r="K84" s="21" t="n">
        <f aca="false">Products!G3</f>
        <v>426</v>
      </c>
      <c r="L84" s="19" t="n">
        <f aca="false">Products!H3</f>
        <v>136320000</v>
      </c>
      <c r="M84" s="19"/>
    </row>
    <row r="85" customFormat="false" ht="15" hidden="false" customHeight="false" outlineLevel="0" collapsed="false">
      <c r="A85" s="12" t="n">
        <f aca="false">Products!A4</f>
        <v>33</v>
      </c>
      <c r="B85" s="13" t="str">
        <f aca="false">Products!B4</f>
        <v>Zontes 310X</v>
      </c>
      <c r="C85" s="13"/>
      <c r="D85" s="13"/>
      <c r="E85" s="13" t="str">
        <f aca="false">Products!C4</f>
        <v>Adventure</v>
      </c>
      <c r="F85" s="13"/>
      <c r="G85" s="14" t="n">
        <f aca="false">Products!D4</f>
        <v>248000</v>
      </c>
      <c r="H85" s="14"/>
      <c r="I85" s="15" t="n">
        <f aca="false">Products!E4</f>
        <v>2023</v>
      </c>
      <c r="J85" s="15" t="n">
        <f aca="false">Products!F4</f>
        <v>2024</v>
      </c>
      <c r="K85" s="16" t="n">
        <f aca="false">Products!G4</f>
        <v>480</v>
      </c>
      <c r="L85" s="14" t="n">
        <f aca="false">Products!H4</f>
        <v>119040000</v>
      </c>
      <c r="M85" s="14"/>
    </row>
    <row r="86" customFormat="false" ht="15" hidden="false" customHeight="false" outlineLevel="0" collapsed="false">
      <c r="A86" s="17" t="n">
        <f aca="false">Products!A5</f>
        <v>24</v>
      </c>
      <c r="B86" s="18" t="str">
        <f aca="false">Products!B5</f>
        <v>Motorstar Xplorer 250R</v>
      </c>
      <c r="C86" s="18"/>
      <c r="D86" s="18"/>
      <c r="E86" s="18" t="str">
        <f aca="false">Products!C5</f>
        <v>Adventure</v>
      </c>
      <c r="F86" s="18"/>
      <c r="G86" s="19" t="n">
        <f aca="false">Products!D5</f>
        <v>78900</v>
      </c>
      <c r="H86" s="19"/>
      <c r="I86" s="20" t="n">
        <f aca="false">Products!E5</f>
        <v>2020</v>
      </c>
      <c r="J86" s="20" t="n">
        <f aca="false">Products!F5</f>
        <v>2021</v>
      </c>
      <c r="K86" s="21" t="n">
        <f aca="false">Products!G5</f>
        <v>353</v>
      </c>
      <c r="L86" s="19" t="n">
        <f aca="false">Products!H5</f>
        <v>27851700</v>
      </c>
      <c r="M86" s="19"/>
    </row>
    <row r="87" customFormat="false" ht="15" hidden="false" customHeight="false" outlineLevel="0" collapsed="false">
      <c r="A87" s="12" t="n">
        <f aca="false">Products!A6</f>
        <v>7</v>
      </c>
      <c r="B87" s="13" t="str">
        <f aca="false">Products!B6</f>
        <v>Bristol Veloce 500</v>
      </c>
      <c r="C87" s="13"/>
      <c r="D87" s="13"/>
      <c r="E87" s="13" t="str">
        <f aca="false">Products!C6</f>
        <v>Cafe Racer</v>
      </c>
      <c r="F87" s="13"/>
      <c r="G87" s="14" t="n">
        <f aca="false">Products!D6</f>
        <v>328000</v>
      </c>
      <c r="H87" s="14"/>
      <c r="I87" s="15" t="n">
        <f aca="false">Products!E6</f>
        <v>2022</v>
      </c>
      <c r="J87" s="15" t="n">
        <f aca="false">Products!F6</f>
        <v>2023</v>
      </c>
      <c r="K87" s="16" t="n">
        <f aca="false">Products!G6</f>
        <v>230</v>
      </c>
      <c r="L87" s="14" t="n">
        <f aca="false">Products!H6</f>
        <v>75440000</v>
      </c>
      <c r="M87" s="14"/>
    </row>
    <row r="88" customFormat="false" ht="15" hidden="false" customHeight="false" outlineLevel="0" collapsed="false">
      <c r="A88" s="17" t="n">
        <f aca="false">Products!A7</f>
        <v>48</v>
      </c>
      <c r="B88" s="18" t="str">
        <f aca="false">Products!B7</f>
        <v>Zontes GK350</v>
      </c>
      <c r="C88" s="18"/>
      <c r="D88" s="18"/>
      <c r="E88" s="18" t="str">
        <f aca="false">Products!C7</f>
        <v>Cafe Racer</v>
      </c>
      <c r="F88" s="18"/>
      <c r="G88" s="19" t="n">
        <f aca="false">Products!D7</f>
        <v>269000</v>
      </c>
      <c r="H88" s="19"/>
      <c r="I88" s="20" t="n">
        <f aca="false">Products!E7</f>
        <v>2023</v>
      </c>
      <c r="J88" s="20" t="n">
        <f aca="false">Products!F7</f>
        <v>2024</v>
      </c>
      <c r="K88" s="21" t="n">
        <f aca="false">Products!G7</f>
        <v>348</v>
      </c>
      <c r="L88" s="19" t="n">
        <f aca="false">Products!H7</f>
        <v>93612000</v>
      </c>
      <c r="M88" s="19"/>
    </row>
    <row r="89" customFormat="false" ht="15" hidden="false" customHeight="false" outlineLevel="0" collapsed="false">
      <c r="A89" s="12" t="n">
        <f aca="false">Products!A8</f>
        <v>5</v>
      </c>
      <c r="B89" s="13" t="str">
        <f aca="false">Products!B8</f>
        <v>Royal Enfield Classic 350</v>
      </c>
      <c r="C89" s="13"/>
      <c r="D89" s="13"/>
      <c r="E89" s="13" t="str">
        <f aca="false">Products!C8</f>
        <v>Classic</v>
      </c>
      <c r="F89" s="13"/>
      <c r="G89" s="14" t="n">
        <f aca="false">Products!D8</f>
        <v>250000</v>
      </c>
      <c r="H89" s="14"/>
      <c r="I89" s="15" t="n">
        <f aca="false">Products!E8</f>
        <v>2022</v>
      </c>
      <c r="J89" s="15" t="n">
        <f aca="false">Products!F8</f>
        <v>2023</v>
      </c>
      <c r="K89" s="16" t="n">
        <f aca="false">Products!G8</f>
        <v>458</v>
      </c>
      <c r="L89" s="14" t="n">
        <f aca="false">Products!H8</f>
        <v>114500000</v>
      </c>
      <c r="M89" s="14"/>
    </row>
    <row r="90" customFormat="false" ht="15" hidden="false" customHeight="false" outlineLevel="0" collapsed="false">
      <c r="A90" s="17" t="n">
        <f aca="false">Products!A9</f>
        <v>28</v>
      </c>
      <c r="B90" s="18" t="str">
        <f aca="false">Products!B9</f>
        <v>Bajaj CT125</v>
      </c>
      <c r="C90" s="18"/>
      <c r="D90" s="18"/>
      <c r="E90" s="18" t="str">
        <f aca="false">Products!C9</f>
        <v>Commuter</v>
      </c>
      <c r="F90" s="18"/>
      <c r="G90" s="19" t="n">
        <f aca="false">Products!D9</f>
        <v>67900</v>
      </c>
      <c r="H90" s="19"/>
      <c r="I90" s="20" t="n">
        <f aca="false">Products!E9</f>
        <v>2021</v>
      </c>
      <c r="J90" s="20" t="n">
        <f aca="false">Products!F9</f>
        <v>2022</v>
      </c>
      <c r="K90" s="21" t="n">
        <f aca="false">Products!G9</f>
        <v>509</v>
      </c>
      <c r="L90" s="19" t="n">
        <f aca="false">Products!H9</f>
        <v>34561100</v>
      </c>
      <c r="M90" s="19"/>
    </row>
    <row r="91" customFormat="false" ht="15" hidden="false" customHeight="false" outlineLevel="0" collapsed="false">
      <c r="A91" s="12" t="n">
        <f aca="false">Products!A10</f>
        <v>30</v>
      </c>
      <c r="B91" s="13" t="str">
        <f aca="false">Products!B10</f>
        <v>Rusi Flash 125</v>
      </c>
      <c r="C91" s="13"/>
      <c r="D91" s="13"/>
      <c r="E91" s="13" t="str">
        <f aca="false">Products!C10</f>
        <v>Commuter</v>
      </c>
      <c r="F91" s="13"/>
      <c r="G91" s="14" t="n">
        <f aca="false">Products!D10</f>
        <v>48000</v>
      </c>
      <c r="H91" s="14"/>
      <c r="I91" s="15" t="n">
        <f aca="false">Products!E10</f>
        <v>2020</v>
      </c>
      <c r="J91" s="15" t="n">
        <f aca="false">Products!F10</f>
        <v>2021</v>
      </c>
      <c r="K91" s="16" t="n">
        <f aca="false">Products!G10</f>
        <v>393</v>
      </c>
      <c r="L91" s="14" t="n">
        <f aca="false">Products!H10</f>
        <v>18864000</v>
      </c>
      <c r="M91" s="14"/>
    </row>
    <row r="92" customFormat="false" ht="15" hidden="false" customHeight="false" outlineLevel="0" collapsed="false">
      <c r="A92" s="17" t="n">
        <f aca="false">Products!A11</f>
        <v>42</v>
      </c>
      <c r="B92" s="18" t="str">
        <f aca="false">Products!B11</f>
        <v>Honda Rebel 1100</v>
      </c>
      <c r="C92" s="18"/>
      <c r="D92" s="18"/>
      <c r="E92" s="18" t="str">
        <f aca="false">Products!C11</f>
        <v>Cruiser</v>
      </c>
      <c r="F92" s="18"/>
      <c r="G92" s="19" t="n">
        <f aca="false">Products!D11</f>
        <v>650000</v>
      </c>
      <c r="H92" s="19"/>
      <c r="I92" s="20" t="n">
        <f aca="false">Products!E11</f>
        <v>2023</v>
      </c>
      <c r="J92" s="20" t="n">
        <f aca="false">Products!F11</f>
        <v>2024</v>
      </c>
      <c r="K92" s="21" t="n">
        <f aca="false">Products!G11</f>
        <v>256</v>
      </c>
      <c r="L92" s="19" t="n">
        <f aca="false">Products!H11</f>
        <v>166400000</v>
      </c>
      <c r="M92" s="19"/>
    </row>
    <row r="93" customFormat="false" ht="15" hidden="false" customHeight="false" outlineLevel="0" collapsed="false">
      <c r="A93" s="12" t="n">
        <f aca="false">Products!A12</f>
        <v>32</v>
      </c>
      <c r="B93" s="13" t="str">
        <f aca="false">Products!B12</f>
        <v>Harley-Davidson Street 750</v>
      </c>
      <c r="C93" s="13"/>
      <c r="D93" s="13"/>
      <c r="E93" s="13" t="str">
        <f aca="false">Products!C12</f>
        <v>Cruiser</v>
      </c>
      <c r="F93" s="13"/>
      <c r="G93" s="14" t="n">
        <f aca="false">Products!D12</f>
        <v>499000</v>
      </c>
      <c r="H93" s="14"/>
      <c r="I93" s="15" t="n">
        <f aca="false">Products!E12</f>
        <v>2020</v>
      </c>
      <c r="J93" s="15" t="n">
        <f aca="false">Products!F12</f>
        <v>2021</v>
      </c>
      <c r="K93" s="16" t="n">
        <f aca="false">Products!G12</f>
        <v>212</v>
      </c>
      <c r="L93" s="14" t="n">
        <f aca="false">Products!H12</f>
        <v>105788000</v>
      </c>
      <c r="M93" s="14"/>
    </row>
    <row r="94" customFormat="false" ht="15" hidden="false" customHeight="false" outlineLevel="0" collapsed="false">
      <c r="A94" s="17" t="n">
        <f aca="false">Products!A13</f>
        <v>22</v>
      </c>
      <c r="B94" s="18" t="str">
        <f aca="false">Products!B13</f>
        <v>Bristol Bobber 650</v>
      </c>
      <c r="C94" s="18"/>
      <c r="D94" s="18"/>
      <c r="E94" s="18" t="str">
        <f aca="false">Products!C13</f>
        <v>Cruiser</v>
      </c>
      <c r="F94" s="18"/>
      <c r="G94" s="19" t="n">
        <f aca="false">Products!D13</f>
        <v>398000</v>
      </c>
      <c r="H94" s="19"/>
      <c r="I94" s="20" t="n">
        <f aca="false">Products!E13</f>
        <v>2022</v>
      </c>
      <c r="J94" s="20" t="n">
        <f aca="false">Products!F13</f>
        <v>2023</v>
      </c>
      <c r="K94" s="21" t="n">
        <f aca="false">Products!G13</f>
        <v>575</v>
      </c>
      <c r="L94" s="19" t="n">
        <f aca="false">Products!H13</f>
        <v>228850000</v>
      </c>
      <c r="M94" s="19"/>
    </row>
    <row r="95" customFormat="false" ht="15" hidden="false" customHeight="false" outlineLevel="0" collapsed="false">
      <c r="A95" s="12" t="n">
        <f aca="false">Products!A14</f>
        <v>36</v>
      </c>
      <c r="B95" s="13" t="str">
        <f aca="false">Products!B14</f>
        <v>Benelli 502C</v>
      </c>
      <c r="C95" s="13"/>
      <c r="D95" s="13"/>
      <c r="E95" s="13" t="str">
        <f aca="false">Products!C14</f>
        <v>Cruiser</v>
      </c>
      <c r="F95" s="13"/>
      <c r="G95" s="14" t="n">
        <f aca="false">Products!D14</f>
        <v>349000</v>
      </c>
      <c r="H95" s="14"/>
      <c r="I95" s="15" t="n">
        <f aca="false">Products!E14</f>
        <v>2022</v>
      </c>
      <c r="J95" s="15" t="n">
        <f aca="false">Products!F14</f>
        <v>2023</v>
      </c>
      <c r="K95" s="16" t="n">
        <f aca="false">Products!G14</f>
        <v>384</v>
      </c>
      <c r="L95" s="14" t="n">
        <f aca="false">Products!H14</f>
        <v>134016000</v>
      </c>
      <c r="M95" s="14"/>
    </row>
    <row r="96" customFormat="false" ht="15" hidden="false" customHeight="false" outlineLevel="0" collapsed="false">
      <c r="A96" s="17" t="n">
        <f aca="false">Products!A15</f>
        <v>46</v>
      </c>
      <c r="B96" s="18" t="str">
        <f aca="false">Products!B15</f>
        <v>Yamaha Serow 250</v>
      </c>
      <c r="C96" s="18"/>
      <c r="D96" s="18"/>
      <c r="E96" s="18" t="str">
        <f aca="false">Products!C15</f>
        <v>Dual-Sport</v>
      </c>
      <c r="F96" s="18"/>
      <c r="G96" s="19" t="n">
        <f aca="false">Products!D15</f>
        <v>299000</v>
      </c>
      <c r="H96" s="19"/>
      <c r="I96" s="20" t="n">
        <f aca="false">Products!E15</f>
        <v>2020</v>
      </c>
      <c r="J96" s="20" t="n">
        <f aca="false">Products!F15</f>
        <v>2021</v>
      </c>
      <c r="K96" s="21" t="n">
        <f aca="false">Products!G15</f>
        <v>496</v>
      </c>
      <c r="L96" s="19" t="n">
        <f aca="false">Products!H15</f>
        <v>148304000</v>
      </c>
      <c r="M96" s="19"/>
    </row>
    <row r="97" customFormat="false" ht="15" hidden="false" customHeight="false" outlineLevel="0" collapsed="false">
      <c r="A97" s="12" t="n">
        <f aca="false">Products!A16</f>
        <v>29</v>
      </c>
      <c r="B97" s="13" t="str">
        <f aca="false">Products!B16</f>
        <v>Honda CRF300L</v>
      </c>
      <c r="C97" s="13"/>
      <c r="D97" s="13"/>
      <c r="E97" s="13" t="str">
        <f aca="false">Products!C16</f>
        <v>Dual-Sport</v>
      </c>
      <c r="F97" s="13"/>
      <c r="G97" s="14" t="n">
        <f aca="false">Products!D16</f>
        <v>284900</v>
      </c>
      <c r="H97" s="14"/>
      <c r="I97" s="15" t="n">
        <f aca="false">Products!E16</f>
        <v>2023</v>
      </c>
      <c r="J97" s="15" t="n">
        <f aca="false">Products!F16</f>
        <v>2024</v>
      </c>
      <c r="K97" s="16" t="n">
        <f aca="false">Products!G16</f>
        <v>292</v>
      </c>
      <c r="L97" s="14" t="n">
        <f aca="false">Products!H16</f>
        <v>83190800</v>
      </c>
      <c r="M97" s="14"/>
    </row>
    <row r="98" customFormat="false" ht="15" hidden="false" customHeight="false" outlineLevel="0" collapsed="false">
      <c r="A98" s="17" t="n">
        <f aca="false">Products!A17</f>
        <v>40</v>
      </c>
      <c r="B98" s="18" t="str">
        <f aca="false">Products!B17</f>
        <v>Kawasaki KLX 230</v>
      </c>
      <c r="C98" s="18"/>
      <c r="D98" s="18"/>
      <c r="E98" s="18" t="str">
        <f aca="false">Products!C17</f>
        <v>Dual-Sport</v>
      </c>
      <c r="F98" s="18"/>
      <c r="G98" s="19" t="n">
        <f aca="false">Products!D17</f>
        <v>199000</v>
      </c>
      <c r="H98" s="19"/>
      <c r="I98" s="20" t="n">
        <f aca="false">Products!E17</f>
        <v>2022</v>
      </c>
      <c r="J98" s="20" t="n">
        <f aca="false">Products!F17</f>
        <v>2023</v>
      </c>
      <c r="K98" s="21" t="n">
        <f aca="false">Products!G17</f>
        <v>377</v>
      </c>
      <c r="L98" s="19" t="n">
        <f aca="false">Products!H17</f>
        <v>75023000</v>
      </c>
      <c r="M98" s="19"/>
    </row>
    <row r="99" customFormat="false" ht="15" hidden="false" customHeight="false" outlineLevel="0" collapsed="false">
      <c r="A99" s="12" t="n">
        <f aca="false">Products!A18</f>
        <v>41</v>
      </c>
      <c r="B99" s="13" t="str">
        <f aca="false">Products!B18</f>
        <v>BMW R nineT</v>
      </c>
      <c r="C99" s="13"/>
      <c r="D99" s="13"/>
      <c r="E99" s="13" t="str">
        <f aca="false">Products!C18</f>
        <v>Heritage</v>
      </c>
      <c r="F99" s="13"/>
      <c r="G99" s="14" t="n">
        <f aca="false">Products!D18</f>
        <v>995000</v>
      </c>
      <c r="H99" s="14"/>
      <c r="I99" s="15" t="n">
        <f aca="false">Products!E18</f>
        <v>2023</v>
      </c>
      <c r="J99" s="15" t="n">
        <f aca="false">Products!F18</f>
        <v>2024</v>
      </c>
      <c r="K99" s="16" t="n">
        <f aca="false">Products!G18</f>
        <v>227</v>
      </c>
      <c r="L99" s="14" t="n">
        <f aca="false">Products!H18</f>
        <v>225865000</v>
      </c>
      <c r="M99" s="14"/>
    </row>
    <row r="100" customFormat="false" ht="15" hidden="false" customHeight="false" outlineLevel="0" collapsed="false">
      <c r="A100" s="17" t="n">
        <f aca="false">Products!A19</f>
        <v>49</v>
      </c>
      <c r="B100" s="18" t="str">
        <f aca="false">Products!B19</f>
        <v>Moto Guzzi V7 Stone</v>
      </c>
      <c r="C100" s="18"/>
      <c r="D100" s="18"/>
      <c r="E100" s="18" t="str">
        <f aca="false">Products!C19</f>
        <v>Heritage</v>
      </c>
      <c r="F100" s="18"/>
      <c r="G100" s="19" t="n">
        <f aca="false">Products!D19</f>
        <v>689000</v>
      </c>
      <c r="H100" s="19"/>
      <c r="I100" s="20" t="n">
        <f aca="false">Products!E19</f>
        <v>2022</v>
      </c>
      <c r="J100" s="20" t="n">
        <f aca="false">Products!F19</f>
        <v>2023</v>
      </c>
      <c r="K100" s="21" t="n">
        <f aca="false">Products!G19</f>
        <v>475</v>
      </c>
      <c r="L100" s="19" t="n">
        <f aca="false">Products!H19</f>
        <v>327275000</v>
      </c>
      <c r="M100" s="19"/>
    </row>
    <row r="101" customFormat="false" ht="15" hidden="false" customHeight="false" outlineLevel="0" collapsed="false">
      <c r="A101" s="12" t="n">
        <f aca="false">Products!A20</f>
        <v>43</v>
      </c>
      <c r="B101" s="13" t="str">
        <f aca="false">Products!B20</f>
        <v>KTM 790 Duke</v>
      </c>
      <c r="C101" s="13"/>
      <c r="D101" s="13"/>
      <c r="E101" s="13" t="str">
        <f aca="false">Products!C20</f>
        <v>Naked Bike</v>
      </c>
      <c r="F101" s="13"/>
      <c r="G101" s="14" t="n">
        <f aca="false">Products!D20</f>
        <v>599000</v>
      </c>
      <c r="H101" s="14"/>
      <c r="I101" s="15" t="n">
        <f aca="false">Products!E20</f>
        <v>2023</v>
      </c>
      <c r="J101" s="15" t="n">
        <f aca="false">Products!F20</f>
        <v>2024</v>
      </c>
      <c r="K101" s="16" t="n">
        <f aca="false">Products!G20</f>
        <v>363</v>
      </c>
      <c r="L101" s="14" t="n">
        <f aca="false">Products!H20</f>
        <v>217437000</v>
      </c>
      <c r="M101" s="14"/>
    </row>
    <row r="102" customFormat="false" ht="15" hidden="false" customHeight="false" outlineLevel="0" collapsed="false">
      <c r="A102" s="17" t="n">
        <f aca="false">Products!A21</f>
        <v>20</v>
      </c>
      <c r="B102" s="18" t="str">
        <f aca="false">Products!B21</f>
        <v>Kawasaki Z400</v>
      </c>
      <c r="C102" s="18"/>
      <c r="D102" s="18"/>
      <c r="E102" s="18" t="str">
        <f aca="false">Products!C21</f>
        <v>Naked Bike</v>
      </c>
      <c r="F102" s="18"/>
      <c r="G102" s="19" t="n">
        <f aca="false">Products!D21</f>
        <v>331000</v>
      </c>
      <c r="H102" s="19"/>
      <c r="I102" s="20" t="n">
        <f aca="false">Products!E21</f>
        <v>2023</v>
      </c>
      <c r="J102" s="20" t="n">
        <f aca="false">Products!F21</f>
        <v>2024</v>
      </c>
      <c r="K102" s="21" t="n">
        <f aca="false">Products!G21</f>
        <v>391</v>
      </c>
      <c r="L102" s="19" t="n">
        <f aca="false">Products!H21</f>
        <v>129421000</v>
      </c>
      <c r="M102" s="19"/>
    </row>
    <row r="103" customFormat="false" ht="15" hidden="false" customHeight="false" outlineLevel="0" collapsed="false">
      <c r="A103" s="12" t="n">
        <f aca="false">Products!A22</f>
        <v>2</v>
      </c>
      <c r="B103" s="13" t="str">
        <f aca="false">Products!B22</f>
        <v>Yamaha MT-15</v>
      </c>
      <c r="C103" s="13"/>
      <c r="D103" s="13"/>
      <c r="E103" s="13" t="str">
        <f aca="false">Products!C22</f>
        <v>Naked Bike</v>
      </c>
      <c r="F103" s="13"/>
      <c r="G103" s="14" t="n">
        <f aca="false">Products!D22</f>
        <v>178000</v>
      </c>
      <c r="H103" s="14"/>
      <c r="I103" s="15" t="n">
        <f aca="false">Products!E22</f>
        <v>2022</v>
      </c>
      <c r="J103" s="15" t="n">
        <f aca="false">Products!F22</f>
        <v>2023</v>
      </c>
      <c r="K103" s="16" t="n">
        <f aca="false">Products!G22</f>
        <v>315</v>
      </c>
      <c r="L103" s="14" t="n">
        <f aca="false">Products!H22</f>
        <v>56070000</v>
      </c>
      <c r="M103" s="14"/>
    </row>
    <row r="104" customFormat="false" ht="15" hidden="false" customHeight="false" outlineLevel="0" collapsed="false">
      <c r="A104" s="17" t="n">
        <f aca="false">Products!A23</f>
        <v>8</v>
      </c>
      <c r="B104" s="18" t="str">
        <f aca="false">Products!B23</f>
        <v>KTM Duke 200</v>
      </c>
      <c r="C104" s="18"/>
      <c r="D104" s="18"/>
      <c r="E104" s="18" t="str">
        <f aca="false">Products!C23</f>
        <v>Naked Bike</v>
      </c>
      <c r="F104" s="18"/>
      <c r="G104" s="19" t="n">
        <f aca="false">Products!D23</f>
        <v>178000</v>
      </c>
      <c r="H104" s="19"/>
      <c r="I104" s="20" t="n">
        <f aca="false">Products!E23</f>
        <v>2023</v>
      </c>
      <c r="J104" s="20" t="n">
        <f aca="false">Products!F23</f>
        <v>2024</v>
      </c>
      <c r="K104" s="21" t="n">
        <f aca="false">Products!G23</f>
        <v>137</v>
      </c>
      <c r="L104" s="19" t="n">
        <f aca="false">Products!H23</f>
        <v>24386000</v>
      </c>
      <c r="M104" s="19"/>
    </row>
    <row r="105" customFormat="false" ht="15" hidden="false" customHeight="false" outlineLevel="0" collapsed="false">
      <c r="A105" s="12" t="n">
        <f aca="false">Products!A24</f>
        <v>6</v>
      </c>
      <c r="B105" s="13" t="str">
        <f aca="false">Products!B24</f>
        <v>CFMoto 300NK</v>
      </c>
      <c r="C105" s="13"/>
      <c r="D105" s="13"/>
      <c r="E105" s="13" t="str">
        <f aca="false">Products!C24</f>
        <v>Naked Bike</v>
      </c>
      <c r="F105" s="13"/>
      <c r="G105" s="14" t="n">
        <f aca="false">Products!D24</f>
        <v>165000</v>
      </c>
      <c r="H105" s="14"/>
      <c r="I105" s="15" t="n">
        <f aca="false">Products!E24</f>
        <v>2021</v>
      </c>
      <c r="J105" s="15" t="n">
        <f aca="false">Products!F24</f>
        <v>2022</v>
      </c>
      <c r="K105" s="16" t="n">
        <f aca="false">Products!G24</f>
        <v>428</v>
      </c>
      <c r="L105" s="14" t="n">
        <f aca="false">Products!H24</f>
        <v>70620000</v>
      </c>
      <c r="M105" s="14"/>
    </row>
    <row r="106" customFormat="false" ht="15" hidden="false" customHeight="false" outlineLevel="0" collapsed="false">
      <c r="A106" s="17" t="n">
        <f aca="false">Products!A25</f>
        <v>16</v>
      </c>
      <c r="B106" s="18" t="str">
        <f aca="false">Products!B25</f>
        <v>TVS Apache RTR 200 4V</v>
      </c>
      <c r="C106" s="18"/>
      <c r="D106" s="18"/>
      <c r="E106" s="18" t="str">
        <f aca="false">Products!C25</f>
        <v>Naked Bike</v>
      </c>
      <c r="F106" s="18"/>
      <c r="G106" s="19" t="n">
        <f aca="false">Products!D25</f>
        <v>129000</v>
      </c>
      <c r="H106" s="19"/>
      <c r="I106" s="20" t="n">
        <f aca="false">Products!E25</f>
        <v>2022</v>
      </c>
      <c r="J106" s="20" t="n">
        <f aca="false">Products!F25</f>
        <v>2023</v>
      </c>
      <c r="K106" s="21" t="n">
        <f aca="false">Products!G25</f>
        <v>219</v>
      </c>
      <c r="L106" s="19" t="n">
        <f aca="false">Products!H25</f>
        <v>28251000</v>
      </c>
      <c r="M106" s="19"/>
    </row>
    <row r="107" customFormat="false" ht="15" hidden="false" customHeight="false" outlineLevel="0" collapsed="false">
      <c r="A107" s="12" t="n">
        <f aca="false">Products!A26</f>
        <v>19</v>
      </c>
      <c r="B107" s="13" t="str">
        <f aca="false">Products!B26</f>
        <v>Suzuki GSX-S150</v>
      </c>
      <c r="C107" s="13"/>
      <c r="D107" s="13"/>
      <c r="E107" s="13" t="str">
        <f aca="false">Products!C26</f>
        <v>Naked Bike</v>
      </c>
      <c r="F107" s="13"/>
      <c r="G107" s="14" t="n">
        <f aca="false">Products!D26</f>
        <v>125000</v>
      </c>
      <c r="H107" s="14"/>
      <c r="I107" s="15" t="n">
        <f aca="false">Products!E26</f>
        <v>2021</v>
      </c>
      <c r="J107" s="15" t="n">
        <f aca="false">Products!F26</f>
        <v>2022</v>
      </c>
      <c r="K107" s="16" t="n">
        <f aca="false">Products!G26</f>
        <v>297</v>
      </c>
      <c r="L107" s="14" t="n">
        <f aca="false">Products!H26</f>
        <v>37125000</v>
      </c>
      <c r="M107" s="14"/>
    </row>
    <row r="108" customFormat="false" ht="15" hidden="false" customHeight="false" outlineLevel="0" collapsed="false">
      <c r="A108" s="17" t="n">
        <f aca="false">Products!A27</f>
        <v>9</v>
      </c>
      <c r="B108" s="18" t="str">
        <f aca="false">Products!B27</f>
        <v>Yamaha XSR155</v>
      </c>
      <c r="C108" s="18"/>
      <c r="D108" s="18"/>
      <c r="E108" s="18" t="str">
        <f aca="false">Products!C27</f>
        <v>Retro</v>
      </c>
      <c r="F108" s="18"/>
      <c r="G108" s="19" t="n">
        <f aca="false">Products!D27</f>
        <v>182000</v>
      </c>
      <c r="H108" s="19"/>
      <c r="I108" s="20" t="n">
        <f aca="false">Products!E27</f>
        <v>2022</v>
      </c>
      <c r="J108" s="20" t="n">
        <f aca="false">Products!F27</f>
        <v>2023</v>
      </c>
      <c r="K108" s="21" t="n">
        <f aca="false">Products!G27</f>
        <v>362</v>
      </c>
      <c r="L108" s="19" t="n">
        <f aca="false">Products!H27</f>
        <v>65884000</v>
      </c>
      <c r="M108" s="19"/>
    </row>
    <row r="109" customFormat="false" ht="15" hidden="false" customHeight="false" outlineLevel="0" collapsed="false">
      <c r="A109" s="12" t="n">
        <f aca="false">Products!A28</f>
        <v>39</v>
      </c>
      <c r="B109" s="13" t="str">
        <f aca="false">Products!B28</f>
        <v>Vespa GTS Super 300</v>
      </c>
      <c r="C109" s="13"/>
      <c r="D109" s="13"/>
      <c r="E109" s="13" t="str">
        <f aca="false">Products!C28</f>
        <v>Scooter</v>
      </c>
      <c r="F109" s="13"/>
      <c r="G109" s="14" t="n">
        <f aca="false">Products!D28</f>
        <v>398000</v>
      </c>
      <c r="H109" s="14"/>
      <c r="I109" s="15" t="n">
        <f aca="false">Products!E28</f>
        <v>2023</v>
      </c>
      <c r="J109" s="15" t="n">
        <f aca="false">Products!F28</f>
        <v>2024</v>
      </c>
      <c r="K109" s="16" t="n">
        <f aca="false">Products!G28</f>
        <v>363</v>
      </c>
      <c r="L109" s="14" t="n">
        <f aca="false">Products!H28</f>
        <v>144474000</v>
      </c>
      <c r="M109" s="14"/>
    </row>
    <row r="110" customFormat="false" ht="15" hidden="false" customHeight="false" outlineLevel="0" collapsed="false">
      <c r="A110" s="17" t="n">
        <f aca="false">Products!A29</f>
        <v>35</v>
      </c>
      <c r="B110" s="18" t="str">
        <f aca="false">Products!B29</f>
        <v>Yamaha XMAX 300</v>
      </c>
      <c r="C110" s="18"/>
      <c r="D110" s="18"/>
      <c r="E110" s="18" t="str">
        <f aca="false">Products!C29</f>
        <v>Scooter</v>
      </c>
      <c r="F110" s="18"/>
      <c r="G110" s="19" t="n">
        <f aca="false">Products!D29</f>
        <v>319000</v>
      </c>
      <c r="H110" s="19"/>
      <c r="I110" s="20" t="n">
        <f aca="false">Products!E29</f>
        <v>2022</v>
      </c>
      <c r="J110" s="20" t="n">
        <f aca="false">Products!F29</f>
        <v>2023</v>
      </c>
      <c r="K110" s="21" t="n">
        <f aca="false">Products!G29</f>
        <v>225</v>
      </c>
      <c r="L110" s="19" t="n">
        <f aca="false">Products!H29</f>
        <v>71775000</v>
      </c>
      <c r="M110" s="19"/>
    </row>
    <row r="111" customFormat="false" ht="15" hidden="false" customHeight="false" outlineLevel="0" collapsed="false">
      <c r="A111" s="12" t="n">
        <f aca="false">Products!A30</f>
        <v>45</v>
      </c>
      <c r="B111" s="13" t="str">
        <f aca="false">Products!B30</f>
        <v>Italjet Dragster 200</v>
      </c>
      <c r="C111" s="13"/>
      <c r="D111" s="13"/>
      <c r="E111" s="13" t="str">
        <f aca="false">Products!C30</f>
        <v>Scooter</v>
      </c>
      <c r="F111" s="13"/>
      <c r="G111" s="14" t="n">
        <f aca="false">Products!D30</f>
        <v>289000</v>
      </c>
      <c r="H111" s="14"/>
      <c r="I111" s="15" t="n">
        <f aca="false">Products!E30</f>
        <v>2023</v>
      </c>
      <c r="J111" s="15" t="n">
        <f aca="false">Products!F30</f>
        <v>2024</v>
      </c>
      <c r="K111" s="16" t="n">
        <f aca="false">Products!G30</f>
        <v>391</v>
      </c>
      <c r="L111" s="14" t="n">
        <f aca="false">Products!H30</f>
        <v>112999000</v>
      </c>
      <c r="M111" s="14"/>
    </row>
    <row r="112" customFormat="false" ht="15" hidden="false" customHeight="false" outlineLevel="0" collapsed="false">
      <c r="A112" s="17" t="n">
        <f aca="false">Products!A31</f>
        <v>34</v>
      </c>
      <c r="B112" s="18" t="str">
        <f aca="false">Products!B31</f>
        <v>Aprilia SR GT 200</v>
      </c>
      <c r="C112" s="18"/>
      <c r="D112" s="18"/>
      <c r="E112" s="18" t="str">
        <f aca="false">Products!C31</f>
        <v>Scooter</v>
      </c>
      <c r="F112" s="18"/>
      <c r="G112" s="19" t="n">
        <f aca="false">Products!D31</f>
        <v>219000</v>
      </c>
      <c r="H112" s="19"/>
      <c r="I112" s="20" t="n">
        <f aca="false">Products!E31</f>
        <v>2023</v>
      </c>
      <c r="J112" s="20" t="n">
        <f aca="false">Products!F31</f>
        <v>2024</v>
      </c>
      <c r="K112" s="21" t="n">
        <f aca="false">Products!G31</f>
        <v>307</v>
      </c>
      <c r="L112" s="19" t="n">
        <f aca="false">Products!H31</f>
        <v>67233000</v>
      </c>
      <c r="M112" s="19"/>
    </row>
    <row r="113" customFormat="false" ht="15" hidden="false" customHeight="false" outlineLevel="0" collapsed="false">
      <c r="A113" s="12" t="n">
        <f aca="false">Products!A32</f>
        <v>18</v>
      </c>
      <c r="B113" s="13" t="str">
        <f aca="false">Products!B32</f>
        <v>Vespa Primavera 150</v>
      </c>
      <c r="C113" s="13"/>
      <c r="D113" s="13"/>
      <c r="E113" s="13" t="str">
        <f aca="false">Products!C32</f>
        <v>Scooter</v>
      </c>
      <c r="F113" s="13"/>
      <c r="G113" s="14" t="n">
        <f aca="false">Products!D32</f>
        <v>210000</v>
      </c>
      <c r="H113" s="14"/>
      <c r="I113" s="15" t="n">
        <f aca="false">Products!E32</f>
        <v>2022</v>
      </c>
      <c r="J113" s="15" t="n">
        <f aca="false">Products!F32</f>
        <v>2023</v>
      </c>
      <c r="K113" s="16" t="n">
        <f aca="false">Products!G32</f>
        <v>315</v>
      </c>
      <c r="L113" s="14" t="n">
        <f aca="false">Products!H32</f>
        <v>66150000</v>
      </c>
      <c r="M113" s="14"/>
    </row>
    <row r="114" customFormat="false" ht="15" hidden="false" customHeight="false" outlineLevel="0" collapsed="false">
      <c r="A114" s="17" t="n">
        <f aca="false">Products!A33</f>
        <v>12</v>
      </c>
      <c r="B114" s="18" t="str">
        <f aca="false">Products!B33</f>
        <v>Honda ADV 160</v>
      </c>
      <c r="C114" s="18"/>
      <c r="D114" s="18"/>
      <c r="E114" s="18" t="str">
        <f aca="false">Products!C33</f>
        <v>Scooter</v>
      </c>
      <c r="F114" s="18"/>
      <c r="G114" s="19" t="n">
        <f aca="false">Products!D33</f>
        <v>164900</v>
      </c>
      <c r="H114" s="19"/>
      <c r="I114" s="20" t="n">
        <f aca="false">Products!E33</f>
        <v>2023</v>
      </c>
      <c r="J114" s="20" t="n">
        <f aca="false">Products!F33</f>
        <v>2024</v>
      </c>
      <c r="K114" s="21" t="n">
        <f aca="false">Products!G33</f>
        <v>457</v>
      </c>
      <c r="L114" s="19" t="n">
        <f aca="false">Products!H33</f>
        <v>75359300</v>
      </c>
      <c r="M114" s="19"/>
    </row>
    <row r="115" customFormat="false" ht="15" hidden="false" customHeight="false" outlineLevel="0" collapsed="false">
      <c r="A115" s="12" t="n">
        <f aca="false">Products!A34</f>
        <v>11</v>
      </c>
      <c r="B115" s="13" t="str">
        <f aca="false">Products!B34</f>
        <v>Yamaha NMAX 155</v>
      </c>
      <c r="C115" s="13"/>
      <c r="D115" s="13"/>
      <c r="E115" s="13" t="str">
        <f aca="false">Products!C34</f>
        <v>Scooter</v>
      </c>
      <c r="F115" s="13"/>
      <c r="G115" s="14" t="n">
        <f aca="false">Products!D34</f>
        <v>151900</v>
      </c>
      <c r="H115" s="14"/>
      <c r="I115" s="15" t="n">
        <f aca="false">Products!E34</f>
        <v>2022</v>
      </c>
      <c r="J115" s="15" t="n">
        <f aca="false">Products!F34</f>
        <v>2023</v>
      </c>
      <c r="K115" s="16" t="n">
        <f aca="false">Products!G34</f>
        <v>270</v>
      </c>
      <c r="L115" s="14" t="n">
        <f aca="false">Products!H34</f>
        <v>41013000</v>
      </c>
      <c r="M115" s="14"/>
    </row>
    <row r="116" customFormat="false" ht="15" hidden="false" customHeight="false" outlineLevel="0" collapsed="false">
      <c r="A116" s="17" t="n">
        <f aca="false">Products!A35</f>
        <v>31</v>
      </c>
      <c r="B116" s="18" t="str">
        <f aca="false">Products!B35</f>
        <v>SYM Jet X 150</v>
      </c>
      <c r="C116" s="18"/>
      <c r="D116" s="18"/>
      <c r="E116" s="18" t="str">
        <f aca="false">Products!C35</f>
        <v>Scooter</v>
      </c>
      <c r="F116" s="18"/>
      <c r="G116" s="19" t="n">
        <f aca="false">Products!D35</f>
        <v>128000</v>
      </c>
      <c r="H116" s="19"/>
      <c r="I116" s="20" t="n">
        <f aca="false">Products!E35</f>
        <v>2022</v>
      </c>
      <c r="J116" s="20" t="n">
        <f aca="false">Products!F35</f>
        <v>2023</v>
      </c>
      <c r="K116" s="21" t="n">
        <f aca="false">Products!G35</f>
        <v>261</v>
      </c>
      <c r="L116" s="19" t="n">
        <f aca="false">Products!H35</f>
        <v>33408000</v>
      </c>
      <c r="M116" s="19"/>
    </row>
    <row r="117" customFormat="false" ht="15" hidden="false" customHeight="false" outlineLevel="0" collapsed="false">
      <c r="A117" s="12" t="n">
        <f aca="false">Products!A36</f>
        <v>21</v>
      </c>
      <c r="B117" s="13" t="str">
        <f aca="false">Products!B36</f>
        <v>Yamaha Aerox 155</v>
      </c>
      <c r="C117" s="13"/>
      <c r="D117" s="13"/>
      <c r="E117" s="13" t="str">
        <f aca="false">Products!C36</f>
        <v>Scooter</v>
      </c>
      <c r="F117" s="13"/>
      <c r="G117" s="14" t="n">
        <f aca="false">Products!D36</f>
        <v>124000</v>
      </c>
      <c r="H117" s="14"/>
      <c r="I117" s="15" t="n">
        <f aca="false">Products!E36</f>
        <v>2022</v>
      </c>
      <c r="J117" s="15" t="n">
        <f aca="false">Products!F36</f>
        <v>2023</v>
      </c>
      <c r="K117" s="16" t="n">
        <f aca="false">Products!G36</f>
        <v>383</v>
      </c>
      <c r="L117" s="14" t="n">
        <f aca="false">Products!H36</f>
        <v>47492000</v>
      </c>
      <c r="M117" s="14"/>
    </row>
    <row r="118" customFormat="false" ht="15" hidden="false" customHeight="false" outlineLevel="0" collapsed="false">
      <c r="A118" s="17" t="n">
        <f aca="false">Products!A37</f>
        <v>47</v>
      </c>
      <c r="B118" s="18" t="str">
        <f aca="false">Products!B37</f>
        <v>Suzuki Burgman Street 125</v>
      </c>
      <c r="C118" s="18"/>
      <c r="D118" s="18"/>
      <c r="E118" s="18" t="str">
        <f aca="false">Products!C37</f>
        <v>Scooter</v>
      </c>
      <c r="F118" s="18"/>
      <c r="G118" s="19" t="n">
        <f aca="false">Products!D37</f>
        <v>80900</v>
      </c>
      <c r="H118" s="19"/>
      <c r="I118" s="20" t="n">
        <f aca="false">Products!E37</f>
        <v>2023</v>
      </c>
      <c r="J118" s="20" t="n">
        <f aca="false">Products!F37</f>
        <v>2024</v>
      </c>
      <c r="K118" s="21" t="n">
        <f aca="false">Products!G37</f>
        <v>369</v>
      </c>
      <c r="L118" s="19" t="n">
        <f aca="false">Products!H37</f>
        <v>29852100</v>
      </c>
      <c r="M118" s="19"/>
    </row>
    <row r="119" customFormat="false" ht="15" hidden="false" customHeight="false" outlineLevel="0" collapsed="false">
      <c r="A119" s="12" t="n">
        <f aca="false">Products!A38</f>
        <v>26</v>
      </c>
      <c r="B119" s="13" t="str">
        <f aca="false">Products!B38</f>
        <v>Honda Click 125i</v>
      </c>
      <c r="C119" s="13"/>
      <c r="D119" s="13"/>
      <c r="E119" s="13" t="str">
        <f aca="false">Products!C38</f>
        <v>Scooter</v>
      </c>
      <c r="F119" s="13"/>
      <c r="G119" s="14" t="n">
        <f aca="false">Products!D38</f>
        <v>80900</v>
      </c>
      <c r="H119" s="14"/>
      <c r="I119" s="15" t="n">
        <f aca="false">Products!E38</f>
        <v>2022</v>
      </c>
      <c r="J119" s="15" t="n">
        <f aca="false">Products!F38</f>
        <v>2023</v>
      </c>
      <c r="K119" s="16" t="n">
        <f aca="false">Products!G38</f>
        <v>293</v>
      </c>
      <c r="L119" s="14" t="n">
        <f aca="false">Products!H38</f>
        <v>23703700</v>
      </c>
      <c r="M119" s="14"/>
    </row>
    <row r="120" customFormat="false" ht="15" hidden="false" customHeight="false" outlineLevel="0" collapsed="false">
      <c r="A120" s="17" t="n">
        <f aca="false">Products!A39</f>
        <v>13</v>
      </c>
      <c r="B120" s="18" t="str">
        <f aca="false">Products!B39</f>
        <v>Suzuki Avenis 125</v>
      </c>
      <c r="C120" s="18"/>
      <c r="D120" s="18"/>
      <c r="E120" s="18" t="str">
        <f aca="false">Products!C39</f>
        <v>Scooter</v>
      </c>
      <c r="F120" s="18"/>
      <c r="G120" s="19" t="n">
        <f aca="false">Products!D39</f>
        <v>79900</v>
      </c>
      <c r="H120" s="19"/>
      <c r="I120" s="20" t="n">
        <f aca="false">Products!E39</f>
        <v>2023</v>
      </c>
      <c r="J120" s="20" t="n">
        <f aca="false">Products!F39</f>
        <v>2024</v>
      </c>
      <c r="K120" s="21" t="n">
        <f aca="false">Products!G39</f>
        <v>422</v>
      </c>
      <c r="L120" s="19" t="n">
        <f aca="false">Products!H39</f>
        <v>33717800</v>
      </c>
      <c r="M120" s="19"/>
    </row>
    <row r="121" customFormat="false" ht="15" hidden="false" customHeight="false" outlineLevel="0" collapsed="false">
      <c r="A121" s="12" t="n">
        <f aca="false">Products!A40</f>
        <v>17</v>
      </c>
      <c r="B121" s="13" t="str">
        <f aca="false">Products!B40</f>
        <v>Husqvarna Svartpilen 401</v>
      </c>
      <c r="C121" s="13"/>
      <c r="D121" s="13"/>
      <c r="E121" s="13" t="str">
        <f aca="false">Products!C40</f>
        <v>Scrambler</v>
      </c>
      <c r="F121" s="13"/>
      <c r="G121" s="14" t="n">
        <f aca="false">Products!D40</f>
        <v>295000</v>
      </c>
      <c r="H121" s="14"/>
      <c r="I121" s="15" t="n">
        <f aca="false">Products!E40</f>
        <v>2023</v>
      </c>
      <c r="J121" s="15" t="n">
        <f aca="false">Products!F40</f>
        <v>2024</v>
      </c>
      <c r="K121" s="16" t="n">
        <f aca="false">Products!G40</f>
        <v>304</v>
      </c>
      <c r="L121" s="14" t="n">
        <f aca="false">Products!H40</f>
        <v>89680000</v>
      </c>
      <c r="M121" s="14"/>
    </row>
    <row r="122" customFormat="false" ht="15" hidden="false" customHeight="false" outlineLevel="0" collapsed="false">
      <c r="A122" s="17" t="n">
        <f aca="false">Products!A41</f>
        <v>1</v>
      </c>
      <c r="B122" s="18" t="str">
        <f aca="false">Products!B41</f>
        <v>Honda CBR500R</v>
      </c>
      <c r="C122" s="18"/>
      <c r="D122" s="18"/>
      <c r="E122" s="18" t="str">
        <f aca="false">Products!C41</f>
        <v>Sport</v>
      </c>
      <c r="F122" s="18"/>
      <c r="G122" s="19" t="n">
        <f aca="false">Products!D41</f>
        <v>389000</v>
      </c>
      <c r="H122" s="19"/>
      <c r="I122" s="20" t="n">
        <f aca="false">Products!E41</f>
        <v>2021</v>
      </c>
      <c r="J122" s="20" t="n">
        <f aca="false">Products!F41</f>
        <v>2023</v>
      </c>
      <c r="K122" s="21" t="n">
        <f aca="false">Products!G41</f>
        <v>369</v>
      </c>
      <c r="L122" s="19" t="n">
        <f aca="false">Products!H41</f>
        <v>143541000</v>
      </c>
      <c r="M122" s="19"/>
    </row>
    <row r="123" customFormat="false" ht="15" hidden="false" customHeight="false" outlineLevel="0" collapsed="false">
      <c r="A123" s="12" t="n">
        <f aca="false">Products!A42</f>
        <v>3</v>
      </c>
      <c r="B123" s="13" t="str">
        <f aca="false">Products!B42</f>
        <v>Kawasaki Ninja 400</v>
      </c>
      <c r="C123" s="13"/>
      <c r="D123" s="13"/>
      <c r="E123" s="13" t="str">
        <f aca="false">Products!C42</f>
        <v>Sport</v>
      </c>
      <c r="F123" s="13"/>
      <c r="G123" s="14" t="n">
        <f aca="false">Products!D42</f>
        <v>340000</v>
      </c>
      <c r="H123" s="14"/>
      <c r="I123" s="15" t="n">
        <f aca="false">Products!E42</f>
        <v>2023</v>
      </c>
      <c r="J123" s="15" t="n">
        <f aca="false">Products!F42</f>
        <v>2024</v>
      </c>
      <c r="K123" s="16" t="n">
        <f aca="false">Products!G42</f>
        <v>255</v>
      </c>
      <c r="L123" s="14" t="n">
        <f aca="false">Products!H42</f>
        <v>86700000</v>
      </c>
      <c r="M123" s="14"/>
    </row>
    <row r="124" customFormat="false" ht="15" hidden="false" customHeight="false" outlineLevel="0" collapsed="false">
      <c r="A124" s="17" t="n">
        <f aca="false">Products!A43</f>
        <v>14</v>
      </c>
      <c r="B124" s="18" t="str">
        <f aca="false">Products!B43</f>
        <v>KTM RC 200</v>
      </c>
      <c r="C124" s="18"/>
      <c r="D124" s="18"/>
      <c r="E124" s="18" t="str">
        <f aca="false">Products!C43</f>
        <v>Sport</v>
      </c>
      <c r="F124" s="18"/>
      <c r="G124" s="19" t="n">
        <f aca="false">Products!D43</f>
        <v>198000</v>
      </c>
      <c r="H124" s="19"/>
      <c r="I124" s="20" t="n">
        <f aca="false">Products!E43</f>
        <v>2021</v>
      </c>
      <c r="J124" s="20" t="n">
        <f aca="false">Products!F43</f>
        <v>2022</v>
      </c>
      <c r="K124" s="21" t="n">
        <f aca="false">Products!G43</f>
        <v>305</v>
      </c>
      <c r="L124" s="19" t="n">
        <f aca="false">Products!H43</f>
        <v>60390000</v>
      </c>
      <c r="M124" s="19"/>
    </row>
    <row r="125" customFormat="false" ht="15" hidden="false" customHeight="false" outlineLevel="0" collapsed="false">
      <c r="A125" s="12" t="n">
        <f aca="false">Products!A44</f>
        <v>44</v>
      </c>
      <c r="B125" s="13" t="str">
        <f aca="false">Products!B44</f>
        <v>CFMoto 300SR</v>
      </c>
      <c r="C125" s="13"/>
      <c r="D125" s="13"/>
      <c r="E125" s="13" t="str">
        <f aca="false">Products!C44</f>
        <v>Sport</v>
      </c>
      <c r="F125" s="13"/>
      <c r="G125" s="14" t="n">
        <f aca="false">Products!D44</f>
        <v>165000</v>
      </c>
      <c r="H125" s="14"/>
      <c r="I125" s="15" t="n">
        <f aca="false">Products!E44</f>
        <v>2023</v>
      </c>
      <c r="J125" s="15" t="n">
        <f aca="false">Products!F44</f>
        <v>2024</v>
      </c>
      <c r="K125" s="16" t="n">
        <f aca="false">Products!G44</f>
        <v>496</v>
      </c>
      <c r="L125" s="14" t="n">
        <f aca="false">Products!H44</f>
        <v>81840000</v>
      </c>
      <c r="M125" s="14"/>
    </row>
    <row r="126" customFormat="false" ht="15" hidden="false" customHeight="false" outlineLevel="0" collapsed="false">
      <c r="A126" s="17" t="n">
        <f aca="false">Products!A45</f>
        <v>10</v>
      </c>
      <c r="B126" s="18" t="str">
        <f aca="false">Products!B45</f>
        <v>Bajaj Dominar 400</v>
      </c>
      <c r="C126" s="18"/>
      <c r="D126" s="18"/>
      <c r="E126" s="18" t="str">
        <f aca="false">Products!C45</f>
        <v>Sport Touring</v>
      </c>
      <c r="F126" s="18"/>
      <c r="G126" s="19" t="n">
        <f aca="false">Products!D45</f>
        <v>199900</v>
      </c>
      <c r="H126" s="19"/>
      <c r="I126" s="20" t="n">
        <f aca="false">Products!E45</f>
        <v>2021</v>
      </c>
      <c r="J126" s="20" t="n">
        <f aca="false">Products!F45</f>
        <v>2022</v>
      </c>
      <c r="K126" s="21" t="n">
        <f aca="false">Products!G45</f>
        <v>418</v>
      </c>
      <c r="L126" s="19" t="n">
        <f aca="false">Products!H45</f>
        <v>83558200</v>
      </c>
      <c r="M126" s="19"/>
    </row>
    <row r="127" customFormat="false" ht="15" hidden="false" customHeight="false" outlineLevel="0" collapsed="false">
      <c r="A127" s="12" t="n">
        <f aca="false">Products!A46</f>
        <v>23</v>
      </c>
      <c r="B127" s="13" t="str">
        <f aca="false">Products!B46</f>
        <v>Keeway RKS 150 Sport</v>
      </c>
      <c r="C127" s="13"/>
      <c r="D127" s="13"/>
      <c r="E127" s="13" t="str">
        <f aca="false">Products!C46</f>
        <v>Standard</v>
      </c>
      <c r="F127" s="13"/>
      <c r="G127" s="14" t="n">
        <f aca="false">Products!D46</f>
        <v>68900</v>
      </c>
      <c r="H127" s="14"/>
      <c r="I127" s="15" t="n">
        <f aca="false">Products!E46</f>
        <v>2021</v>
      </c>
      <c r="J127" s="15" t="n">
        <f aca="false">Products!F46</f>
        <v>2022</v>
      </c>
      <c r="K127" s="16" t="n">
        <f aca="false">Products!G46</f>
        <v>395</v>
      </c>
      <c r="L127" s="14" t="n">
        <f aca="false">Products!H46</f>
        <v>27215500</v>
      </c>
      <c r="M127" s="14"/>
    </row>
    <row r="128" customFormat="false" ht="15" hidden="false" customHeight="false" outlineLevel="0" collapsed="false">
      <c r="A128" s="17" t="n">
        <f aca="false">Products!A47</f>
        <v>38</v>
      </c>
      <c r="B128" s="18" t="str">
        <f aca="false">Products!B47</f>
        <v>Yamaha FZi 150</v>
      </c>
      <c r="C128" s="18"/>
      <c r="D128" s="18"/>
      <c r="E128" s="18" t="str">
        <f aca="false">Products!C47</f>
        <v>Street</v>
      </c>
      <c r="F128" s="18"/>
      <c r="G128" s="19" t="n">
        <f aca="false">Products!D47</f>
        <v>99900</v>
      </c>
      <c r="H128" s="19"/>
      <c r="I128" s="20" t="n">
        <f aca="false">Products!E47</f>
        <v>2021</v>
      </c>
      <c r="J128" s="20" t="n">
        <f aca="false">Products!F47</f>
        <v>2022</v>
      </c>
      <c r="K128" s="21" t="n">
        <f aca="false">Products!G47</f>
        <v>482</v>
      </c>
      <c r="L128" s="19" t="n">
        <f aca="false">Products!H47</f>
        <v>48151800</v>
      </c>
      <c r="M128" s="19"/>
    </row>
    <row r="129" customFormat="false" ht="15" hidden="false" customHeight="false" outlineLevel="0" collapsed="false">
      <c r="A129" s="12" t="n">
        <f aca="false">Products!A48</f>
        <v>25</v>
      </c>
      <c r="B129" s="13" t="str">
        <f aca="false">Products!B48</f>
        <v>CFMoto 650MT</v>
      </c>
      <c r="C129" s="13"/>
      <c r="D129" s="13"/>
      <c r="E129" s="13" t="str">
        <f aca="false">Products!C48</f>
        <v>Touring</v>
      </c>
      <c r="F129" s="13"/>
      <c r="G129" s="14" t="n">
        <f aca="false">Products!D48</f>
        <v>345000</v>
      </c>
      <c r="H129" s="14"/>
      <c r="I129" s="15" t="n">
        <f aca="false">Products!E48</f>
        <v>2023</v>
      </c>
      <c r="J129" s="15" t="n">
        <f aca="false">Products!F48</f>
        <v>2024</v>
      </c>
      <c r="K129" s="16" t="n">
        <f aca="false">Products!G48</f>
        <v>427</v>
      </c>
      <c r="L129" s="14" t="n">
        <f aca="false">Products!H48</f>
        <v>147315000</v>
      </c>
      <c r="M129" s="14"/>
    </row>
    <row r="130" customFormat="false" ht="15" hidden="false" customHeight="false" outlineLevel="0" collapsed="false">
      <c r="A130" s="17" t="n">
        <f aca="false">Products!A49</f>
        <v>27</v>
      </c>
      <c r="B130" s="18" t="str">
        <f aca="false">Products!B49</f>
        <v>Yamaha Sniper 155</v>
      </c>
      <c r="C130" s="18"/>
      <c r="D130" s="18"/>
      <c r="E130" s="18" t="str">
        <f aca="false">Products!C49</f>
        <v>Underbone</v>
      </c>
      <c r="F130" s="18"/>
      <c r="G130" s="19" t="n">
        <f aca="false">Products!D49</f>
        <v>125900</v>
      </c>
      <c r="H130" s="19"/>
      <c r="I130" s="20" t="n">
        <f aca="false">Products!E49</f>
        <v>2023</v>
      </c>
      <c r="J130" s="20" t="n">
        <f aca="false">Products!F49</f>
        <v>2024</v>
      </c>
      <c r="K130" s="21" t="n">
        <f aca="false">Products!G49</f>
        <v>302</v>
      </c>
      <c r="L130" s="19" t="n">
        <f aca="false">Products!H49</f>
        <v>38021800</v>
      </c>
      <c r="M130" s="19"/>
    </row>
    <row r="131" customFormat="false" ht="15" hidden="false" customHeight="false" outlineLevel="0" collapsed="false">
      <c r="A131" s="12" t="n">
        <f aca="false">Products!A50</f>
        <v>4</v>
      </c>
      <c r="B131" s="13" t="str">
        <f aca="false">Products!B50</f>
        <v>Suzuki Raider R150 Fi</v>
      </c>
      <c r="C131" s="13"/>
      <c r="D131" s="13"/>
      <c r="E131" s="13" t="str">
        <f aca="false">Products!C50</f>
        <v>Underbone</v>
      </c>
      <c r="F131" s="13"/>
      <c r="G131" s="14" t="n">
        <f aca="false">Products!D50</f>
        <v>119900</v>
      </c>
      <c r="H131" s="14"/>
      <c r="I131" s="15" t="n">
        <f aca="false">Products!E50</f>
        <v>2020</v>
      </c>
      <c r="J131" s="15" t="n">
        <f aca="false">Products!F50</f>
        <v>2021</v>
      </c>
      <c r="K131" s="16" t="n">
        <f aca="false">Products!G50</f>
        <v>320</v>
      </c>
      <c r="L131" s="14" t="n">
        <f aca="false">Products!H50</f>
        <v>38368000</v>
      </c>
      <c r="M131" s="14"/>
    </row>
    <row r="132" customFormat="false" ht="15" hidden="false" customHeight="false" outlineLevel="0" collapsed="false">
      <c r="A132" s="17" t="n">
        <f aca="false">Products!A51</f>
        <v>50</v>
      </c>
      <c r="B132" s="18" t="str">
        <f aca="false">Products!B51</f>
        <v>SYM Husky 150</v>
      </c>
      <c r="C132" s="18"/>
      <c r="D132" s="18"/>
      <c r="E132" s="18" t="str">
        <f aca="false">Products!C51</f>
        <v>Underbone</v>
      </c>
      <c r="F132" s="18"/>
      <c r="G132" s="19" t="n">
        <f aca="false">Products!D51</f>
        <v>72900</v>
      </c>
      <c r="H132" s="19"/>
      <c r="I132" s="20" t="n">
        <f aca="false">Products!E51</f>
        <v>2022</v>
      </c>
      <c r="J132" s="20" t="n">
        <f aca="false">Products!F51</f>
        <v>2023</v>
      </c>
      <c r="K132" s="21" t="n">
        <f aca="false">Products!G51</f>
        <v>190</v>
      </c>
      <c r="L132" s="19" t="n">
        <f aca="false">Products!H51</f>
        <v>13851000</v>
      </c>
      <c r="M132" s="19"/>
    </row>
  </sheetData>
  <mergeCells count="240">
    <mergeCell ref="A1:R1"/>
    <mergeCell ref="A2:R2"/>
    <mergeCell ref="A4:R4"/>
    <mergeCell ref="A5:C5"/>
    <mergeCell ref="D5:F5"/>
    <mergeCell ref="G5:I5"/>
    <mergeCell ref="J5:L5"/>
    <mergeCell ref="M5:O5"/>
    <mergeCell ref="P5:R5"/>
    <mergeCell ref="A6:C6"/>
    <mergeCell ref="D6:F6"/>
    <mergeCell ref="G6:I6"/>
    <mergeCell ref="J6:L6"/>
    <mergeCell ref="M6:O6"/>
    <mergeCell ref="P6:R6"/>
    <mergeCell ref="A7:C7"/>
    <mergeCell ref="D7:F7"/>
    <mergeCell ref="G7:I7"/>
    <mergeCell ref="J7:L7"/>
    <mergeCell ref="M7:O7"/>
    <mergeCell ref="P7:R7"/>
    <mergeCell ref="A9:R9"/>
    <mergeCell ref="A44:R44"/>
    <mergeCell ref="A67:R67"/>
    <mergeCell ref="A68:R68"/>
    <mergeCell ref="A69:R69"/>
    <mergeCell ref="A70:R70"/>
    <mergeCell ref="A71:R71"/>
    <mergeCell ref="A72:R72"/>
    <mergeCell ref="A73:R73"/>
    <mergeCell ref="A75:R75"/>
    <mergeCell ref="A76:R76"/>
    <mergeCell ref="A77:R77"/>
    <mergeCell ref="A78:R78"/>
    <mergeCell ref="A79:R79"/>
    <mergeCell ref="A81:R81"/>
    <mergeCell ref="B82:D82"/>
    <mergeCell ref="E82:F82"/>
    <mergeCell ref="G82:H82"/>
    <mergeCell ref="L82:M82"/>
    <mergeCell ref="B83:D83"/>
    <mergeCell ref="E83:F83"/>
    <mergeCell ref="G83:H83"/>
    <mergeCell ref="L83:M83"/>
    <mergeCell ref="B84:D84"/>
    <mergeCell ref="E84:F84"/>
    <mergeCell ref="G84:H84"/>
    <mergeCell ref="L84:M84"/>
    <mergeCell ref="B85:D85"/>
    <mergeCell ref="E85:F85"/>
    <mergeCell ref="G85:H85"/>
    <mergeCell ref="L85:M85"/>
    <mergeCell ref="B86:D86"/>
    <mergeCell ref="E86:F86"/>
    <mergeCell ref="G86:H86"/>
    <mergeCell ref="L86:M86"/>
    <mergeCell ref="B87:D87"/>
    <mergeCell ref="E87:F87"/>
    <mergeCell ref="G87:H87"/>
    <mergeCell ref="L87:M87"/>
    <mergeCell ref="B88:D88"/>
    <mergeCell ref="E88:F88"/>
    <mergeCell ref="G88:H88"/>
    <mergeCell ref="L88:M88"/>
    <mergeCell ref="B89:D89"/>
    <mergeCell ref="E89:F89"/>
    <mergeCell ref="G89:H89"/>
    <mergeCell ref="L89:M89"/>
    <mergeCell ref="B90:D90"/>
    <mergeCell ref="E90:F90"/>
    <mergeCell ref="G90:H90"/>
    <mergeCell ref="L90:M90"/>
    <mergeCell ref="B91:D91"/>
    <mergeCell ref="E91:F91"/>
    <mergeCell ref="G91:H91"/>
    <mergeCell ref="L91:M91"/>
    <mergeCell ref="B92:D92"/>
    <mergeCell ref="E92:F92"/>
    <mergeCell ref="G92:H92"/>
    <mergeCell ref="L92:M92"/>
    <mergeCell ref="B93:D93"/>
    <mergeCell ref="E93:F93"/>
    <mergeCell ref="G93:H93"/>
    <mergeCell ref="L93:M93"/>
    <mergeCell ref="B94:D94"/>
    <mergeCell ref="E94:F94"/>
    <mergeCell ref="G94:H94"/>
    <mergeCell ref="L94:M94"/>
    <mergeCell ref="B95:D95"/>
    <mergeCell ref="E95:F95"/>
    <mergeCell ref="G95:H95"/>
    <mergeCell ref="L95:M95"/>
    <mergeCell ref="B96:D96"/>
    <mergeCell ref="E96:F96"/>
    <mergeCell ref="G96:H96"/>
    <mergeCell ref="L96:M96"/>
    <mergeCell ref="B97:D97"/>
    <mergeCell ref="E97:F97"/>
    <mergeCell ref="G97:H97"/>
    <mergeCell ref="L97:M97"/>
    <mergeCell ref="B98:D98"/>
    <mergeCell ref="E98:F98"/>
    <mergeCell ref="G98:H98"/>
    <mergeCell ref="L98:M98"/>
    <mergeCell ref="B99:D99"/>
    <mergeCell ref="E99:F99"/>
    <mergeCell ref="G99:H99"/>
    <mergeCell ref="L99:M99"/>
    <mergeCell ref="B100:D100"/>
    <mergeCell ref="E100:F100"/>
    <mergeCell ref="G100:H100"/>
    <mergeCell ref="L100:M100"/>
    <mergeCell ref="B101:D101"/>
    <mergeCell ref="E101:F101"/>
    <mergeCell ref="G101:H101"/>
    <mergeCell ref="L101:M101"/>
    <mergeCell ref="B102:D102"/>
    <mergeCell ref="E102:F102"/>
    <mergeCell ref="G102:H102"/>
    <mergeCell ref="L102:M102"/>
    <mergeCell ref="B103:D103"/>
    <mergeCell ref="E103:F103"/>
    <mergeCell ref="G103:H103"/>
    <mergeCell ref="L103:M103"/>
    <mergeCell ref="B104:D104"/>
    <mergeCell ref="E104:F104"/>
    <mergeCell ref="G104:H104"/>
    <mergeCell ref="L104:M104"/>
    <mergeCell ref="B105:D105"/>
    <mergeCell ref="E105:F105"/>
    <mergeCell ref="G105:H105"/>
    <mergeCell ref="L105:M105"/>
    <mergeCell ref="B106:D106"/>
    <mergeCell ref="E106:F106"/>
    <mergeCell ref="G106:H106"/>
    <mergeCell ref="L106:M106"/>
    <mergeCell ref="B107:D107"/>
    <mergeCell ref="E107:F107"/>
    <mergeCell ref="G107:H107"/>
    <mergeCell ref="L107:M107"/>
    <mergeCell ref="B108:D108"/>
    <mergeCell ref="E108:F108"/>
    <mergeCell ref="G108:H108"/>
    <mergeCell ref="L108:M108"/>
    <mergeCell ref="B109:D109"/>
    <mergeCell ref="E109:F109"/>
    <mergeCell ref="G109:H109"/>
    <mergeCell ref="L109:M109"/>
    <mergeCell ref="B110:D110"/>
    <mergeCell ref="E110:F110"/>
    <mergeCell ref="G110:H110"/>
    <mergeCell ref="L110:M110"/>
    <mergeCell ref="B111:D111"/>
    <mergeCell ref="E111:F111"/>
    <mergeCell ref="G111:H111"/>
    <mergeCell ref="L111:M111"/>
    <mergeCell ref="B112:D112"/>
    <mergeCell ref="E112:F112"/>
    <mergeCell ref="G112:H112"/>
    <mergeCell ref="L112:M112"/>
    <mergeCell ref="B113:D113"/>
    <mergeCell ref="E113:F113"/>
    <mergeCell ref="G113:H113"/>
    <mergeCell ref="L113:M113"/>
    <mergeCell ref="B114:D114"/>
    <mergeCell ref="E114:F114"/>
    <mergeCell ref="G114:H114"/>
    <mergeCell ref="L114:M114"/>
    <mergeCell ref="B115:D115"/>
    <mergeCell ref="E115:F115"/>
    <mergeCell ref="G115:H115"/>
    <mergeCell ref="L115:M115"/>
    <mergeCell ref="B116:D116"/>
    <mergeCell ref="E116:F116"/>
    <mergeCell ref="G116:H116"/>
    <mergeCell ref="L116:M116"/>
    <mergeCell ref="B117:D117"/>
    <mergeCell ref="E117:F117"/>
    <mergeCell ref="G117:H117"/>
    <mergeCell ref="L117:M117"/>
    <mergeCell ref="B118:D118"/>
    <mergeCell ref="E118:F118"/>
    <mergeCell ref="G118:H118"/>
    <mergeCell ref="L118:M118"/>
    <mergeCell ref="B119:D119"/>
    <mergeCell ref="E119:F119"/>
    <mergeCell ref="G119:H119"/>
    <mergeCell ref="L119:M119"/>
    <mergeCell ref="B120:D120"/>
    <mergeCell ref="E120:F120"/>
    <mergeCell ref="G120:H120"/>
    <mergeCell ref="L120:M120"/>
    <mergeCell ref="B121:D121"/>
    <mergeCell ref="E121:F121"/>
    <mergeCell ref="G121:H121"/>
    <mergeCell ref="L121:M121"/>
    <mergeCell ref="B122:D122"/>
    <mergeCell ref="E122:F122"/>
    <mergeCell ref="G122:H122"/>
    <mergeCell ref="L122:M122"/>
    <mergeCell ref="B123:D123"/>
    <mergeCell ref="E123:F123"/>
    <mergeCell ref="G123:H123"/>
    <mergeCell ref="L123:M123"/>
    <mergeCell ref="B124:D124"/>
    <mergeCell ref="E124:F124"/>
    <mergeCell ref="G124:H124"/>
    <mergeCell ref="L124:M124"/>
    <mergeCell ref="B125:D125"/>
    <mergeCell ref="E125:F125"/>
    <mergeCell ref="G125:H125"/>
    <mergeCell ref="L125:M125"/>
    <mergeCell ref="B126:D126"/>
    <mergeCell ref="E126:F126"/>
    <mergeCell ref="G126:H126"/>
    <mergeCell ref="L126:M126"/>
    <mergeCell ref="B127:D127"/>
    <mergeCell ref="E127:F127"/>
    <mergeCell ref="G127:H127"/>
    <mergeCell ref="L127:M127"/>
    <mergeCell ref="B128:D128"/>
    <mergeCell ref="E128:F128"/>
    <mergeCell ref="G128:H128"/>
    <mergeCell ref="L128:M128"/>
    <mergeCell ref="B129:D129"/>
    <mergeCell ref="E129:F129"/>
    <mergeCell ref="G129:H129"/>
    <mergeCell ref="L129:M129"/>
    <mergeCell ref="B130:D130"/>
    <mergeCell ref="E130:F130"/>
    <mergeCell ref="G130:H130"/>
    <mergeCell ref="L130:M130"/>
    <mergeCell ref="B131:D131"/>
    <mergeCell ref="E131:F131"/>
    <mergeCell ref="G131:H131"/>
    <mergeCell ref="L131:M131"/>
    <mergeCell ref="B132:D132"/>
    <mergeCell ref="E132:F132"/>
    <mergeCell ref="G132:H132"/>
    <mergeCell ref="L132:M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7"/>
    <col collapsed="false" customWidth="true" hidden="false" outlineLevel="0" max="13" min="13" style="0" width="28"/>
    <col collapsed="false" customWidth="true" hidden="false" outlineLevel="0" max="16" min="14" style="0" width="17"/>
    <col collapsed="false" customWidth="true" hidden="false" outlineLevel="0" max="17" min="17" style="0" width="28"/>
    <col collapsed="false" customWidth="true" hidden="false" outlineLevel="0" max="20" min="18" style="0" width="17"/>
  </cols>
  <sheetData>
    <row r="1" customFormat="false" ht="17.35" hidden="false" customHeight="false" outlineLevel="0" collapsed="false">
      <c r="A1" s="22" t="s">
        <v>37</v>
      </c>
    </row>
    <row r="3" customFormat="false" ht="15" hidden="false" customHeight="false" outlineLevel="0" collapsed="false">
      <c r="A3" s="23" t="s">
        <v>38</v>
      </c>
      <c r="E3" s="23" t="s">
        <v>39</v>
      </c>
      <c r="I3" s="23" t="s">
        <v>40</v>
      </c>
      <c r="M3" s="23" t="s">
        <v>41</v>
      </c>
      <c r="Q3" s="23" t="s">
        <v>42</v>
      </c>
    </row>
    <row r="4" customFormat="false" ht="15" hidden="false" customHeight="false" outlineLevel="0" collapsed="false">
      <c r="A4" s="24" t="s">
        <v>43</v>
      </c>
      <c r="B4" s="24" t="s">
        <v>36</v>
      </c>
      <c r="C4" s="24" t="s">
        <v>44</v>
      </c>
      <c r="E4" s="24" t="s">
        <v>45</v>
      </c>
      <c r="F4" s="24" t="s">
        <v>36</v>
      </c>
      <c r="G4" s="24" t="s">
        <v>46</v>
      </c>
      <c r="I4" s="24" t="s">
        <v>47</v>
      </c>
      <c r="J4" s="24" t="s">
        <v>36</v>
      </c>
      <c r="K4" s="24" t="s">
        <v>46</v>
      </c>
      <c r="M4" s="24" t="s">
        <v>48</v>
      </c>
      <c r="N4" s="24" t="s">
        <v>36</v>
      </c>
      <c r="O4" s="24" t="s">
        <v>44</v>
      </c>
      <c r="Q4" s="24" t="s">
        <v>48</v>
      </c>
      <c r="R4" s="24" t="s">
        <v>36</v>
      </c>
      <c r="S4" s="24" t="s">
        <v>44</v>
      </c>
    </row>
    <row r="5" customFormat="false" ht="15" hidden="false" customHeight="false" outlineLevel="0" collapsed="false">
      <c r="A5" s="25" t="n">
        <v>45658</v>
      </c>
      <c r="B5" s="26" t="n">
        <f aca="false">SUMIFS('Sales Data'!$F$2:$F$995,'Sales Data'!$A$2:$A$995,"&gt;="&amp;A5,'Sales Data'!$A$2:$A$995,"&lt;"&amp;EDATE(A5,1))</f>
        <v>1425900</v>
      </c>
      <c r="C5" s="27" t="n">
        <f aca="false">SUMIFS('Sales Data'!$E$2:$E$995,'Sales Data'!$A$2:$A$995,"&gt;="&amp;A5,'Sales Data'!$A$2:$A$995,"&lt;"&amp;EDATE(A5,1))</f>
        <v>21</v>
      </c>
      <c r="E5" s="28" t="s">
        <v>49</v>
      </c>
      <c r="F5" s="26" t="n">
        <f aca="false">SUMIFS('Sales Data'!$F$2:$F$995,'Sales Data'!$B$2:$B$995,E5)</f>
        <v>2387945300</v>
      </c>
      <c r="G5" s="29" t="n">
        <f aca="false">F5/SUM(F$5:F$7)</f>
        <v>0.535474159326676</v>
      </c>
      <c r="I5" s="28" t="s">
        <v>50</v>
      </c>
      <c r="J5" s="26" t="n">
        <f aca="false">SUMIFS('Sales Data'!$F$2:$F$995,'Sales Data'!$G$2:$G$995,I5)</f>
        <v>1569820600</v>
      </c>
      <c r="K5" s="29" t="n">
        <f aca="false">J5/SUM(J$5:J$8)</f>
        <v>0.352017429410421</v>
      </c>
      <c r="M5" s="28" t="s">
        <v>51</v>
      </c>
      <c r="N5" s="26" t="n">
        <f aca="false">SUMIFS('Sales Data'!$F$2:$F$995,'Sales Data'!$C$2:$C$995,M5)</f>
        <v>327275000</v>
      </c>
      <c r="O5" s="27" t="n">
        <f aca="false">SUMIFS('Sales Data'!$E$2:$E$995,'Sales Data'!$C$2:$C$995,M5)</f>
        <v>475</v>
      </c>
      <c r="Q5" s="28" t="s">
        <v>52</v>
      </c>
      <c r="R5" s="26" t="n">
        <f aca="false">SUMIFS('Sales Data'!$F$2:$F$995,'Sales Data'!$C$2:$C$995,Q5)</f>
        <v>228850000</v>
      </c>
      <c r="S5" s="27" t="n">
        <f aca="false">SUMIFS('Sales Data'!$E$2:$E$995,'Sales Data'!$C$2:$C$995,Q5)</f>
        <v>575</v>
      </c>
    </row>
    <row r="6" customFormat="false" ht="15" hidden="false" customHeight="false" outlineLevel="0" collapsed="false">
      <c r="A6" s="25" t="n">
        <v>45689</v>
      </c>
      <c r="B6" s="26" t="n">
        <f aca="false">SUMIFS('Sales Data'!$F$2:$F$995,'Sales Data'!$A$2:$A$995,"&gt;="&amp;A6,'Sales Data'!$A$2:$A$995,"&lt;"&amp;EDATE(A6,1))</f>
        <v>0</v>
      </c>
      <c r="C6" s="27" t="n">
        <f aca="false">SUMIFS('Sales Data'!$E$2:$E$995,'Sales Data'!$A$2:$A$995,"&gt;="&amp;A6,'Sales Data'!$A$2:$A$995,"&lt;"&amp;EDATE(A6,1))</f>
        <v>0</v>
      </c>
      <c r="E6" s="28" t="s">
        <v>53</v>
      </c>
      <c r="F6" s="26" t="n">
        <f aca="false">SUMIFS('Sales Data'!$F$2:$F$995,'Sales Data'!$B$2:$B$995,E6)</f>
        <v>2036324900</v>
      </c>
      <c r="G6" s="29" t="n">
        <f aca="false">F6/SUM(F$5:F$7)</f>
        <v>0.456626608634409</v>
      </c>
      <c r="I6" s="28" t="s">
        <v>54</v>
      </c>
      <c r="J6" s="26" t="n">
        <f aca="false">SUMIFS('Sales Data'!$F$2:$F$995,'Sales Data'!$G$2:$G$995,I6)</f>
        <v>1431534300</v>
      </c>
      <c r="K6" s="29" t="n">
        <f aca="false">J6/SUM(J$5:J$8)</f>
        <v>0.321008033910911</v>
      </c>
      <c r="M6" s="28" t="s">
        <v>52</v>
      </c>
      <c r="N6" s="26" t="n">
        <f aca="false">SUMIFS('Sales Data'!$F$2:$F$995,'Sales Data'!$C$2:$C$995,M6)</f>
        <v>228850000</v>
      </c>
      <c r="O6" s="27" t="n">
        <f aca="false">SUMIFS('Sales Data'!$E$2:$E$995,'Sales Data'!$C$2:$C$995,M6)</f>
        <v>575</v>
      </c>
      <c r="Q6" s="28" t="s">
        <v>55</v>
      </c>
      <c r="R6" s="26" t="n">
        <f aca="false">SUMIFS('Sales Data'!$F$2:$F$995,'Sales Data'!$C$2:$C$995,Q6)</f>
        <v>34561100</v>
      </c>
      <c r="S6" s="27" t="n">
        <f aca="false">SUMIFS('Sales Data'!$E$2:$E$995,'Sales Data'!$C$2:$C$995,Q6)</f>
        <v>509</v>
      </c>
    </row>
    <row r="7" customFormat="false" ht="15" hidden="false" customHeight="false" outlineLevel="0" collapsed="false">
      <c r="A7" s="25" t="n">
        <v>45717</v>
      </c>
      <c r="B7" s="26" t="n">
        <f aca="false">SUMIFS('Sales Data'!$F$2:$F$995,'Sales Data'!$A$2:$A$995,"&gt;="&amp;A7,'Sales Data'!$A$2:$A$995,"&lt;"&amp;EDATE(A7,1))</f>
        <v>0</v>
      </c>
      <c r="C7" s="27" t="n">
        <f aca="false">SUMIFS('Sales Data'!$E$2:$E$995,'Sales Data'!$A$2:$A$995,"&gt;="&amp;A7,'Sales Data'!$A$2:$A$995,"&lt;"&amp;EDATE(A7,1))</f>
        <v>0</v>
      </c>
      <c r="E7" s="28" t="s">
        <v>56</v>
      </c>
      <c r="F7" s="26" t="n">
        <f aca="false">SUMIFS('Sales Data'!$F$2:$F$995,'Sales Data'!$B$2:$B$995,E7)</f>
        <v>35226600</v>
      </c>
      <c r="G7" s="29" t="n">
        <f aca="false">F7/SUM(F$5:F$7)</f>
        <v>0.00789923203891524</v>
      </c>
      <c r="I7" s="28" t="s">
        <v>57</v>
      </c>
      <c r="J7" s="26" t="n">
        <f aca="false">SUMIFS('Sales Data'!$F$2:$F$995,'Sales Data'!$G$2:$G$995,I7)</f>
        <v>1427338800</v>
      </c>
      <c r="K7" s="29" t="n">
        <f aca="false">J7/SUM(J$5:J$8)</f>
        <v>0.320067232697644</v>
      </c>
      <c r="M7" s="28" t="s">
        <v>58</v>
      </c>
      <c r="N7" s="26" t="n">
        <f aca="false">SUMIFS('Sales Data'!$F$2:$F$995,'Sales Data'!$C$2:$C$995,M7)</f>
        <v>225865000</v>
      </c>
      <c r="O7" s="27" t="n">
        <f aca="false">SUMIFS('Sales Data'!$E$2:$E$995,'Sales Data'!$C$2:$C$995,M7)</f>
        <v>227</v>
      </c>
      <c r="Q7" s="28" t="s">
        <v>59</v>
      </c>
      <c r="R7" s="26" t="n">
        <f aca="false">SUMIFS('Sales Data'!$F$2:$F$995,'Sales Data'!$C$2:$C$995,Q7)</f>
        <v>81840000</v>
      </c>
      <c r="S7" s="27" t="n">
        <f aca="false">SUMIFS('Sales Data'!$E$2:$E$995,'Sales Data'!$C$2:$C$995,Q7)</f>
        <v>496</v>
      </c>
    </row>
    <row r="8" customFormat="false" ht="15" hidden="false" customHeight="false" outlineLevel="0" collapsed="false">
      <c r="A8" s="25" t="n">
        <v>45748</v>
      </c>
      <c r="B8" s="26" t="n">
        <f aca="false">SUMIFS('Sales Data'!$F$2:$F$995,'Sales Data'!$A$2:$A$995,"&gt;="&amp;A8,'Sales Data'!$A$2:$A$995,"&lt;"&amp;EDATE(A8,1))</f>
        <v>0</v>
      </c>
      <c r="C8" s="27" t="n">
        <f aca="false">SUMIFS('Sales Data'!$E$2:$E$995,'Sales Data'!$A$2:$A$995,"&gt;="&amp;A8,'Sales Data'!$A$2:$A$995,"&lt;"&amp;EDATE(A8,1))</f>
        <v>0</v>
      </c>
      <c r="I8" s="28" t="s">
        <v>56</v>
      </c>
      <c r="J8" s="26" t="n">
        <f aca="false">SUMIFS('Sales Data'!$F$2:$F$995,'Sales Data'!$G$2:$G$995,I8)</f>
        <v>30803100</v>
      </c>
      <c r="K8" s="29" t="n">
        <f aca="false">J8/SUM(J$5:J$8)</f>
        <v>0.00690730398102315</v>
      </c>
      <c r="M8" s="28" t="s">
        <v>60</v>
      </c>
      <c r="N8" s="26" t="n">
        <f aca="false">SUMIFS('Sales Data'!$F$2:$F$995,'Sales Data'!$C$2:$C$995,M8)</f>
        <v>217437000</v>
      </c>
      <c r="O8" s="27" t="n">
        <f aca="false">SUMIFS('Sales Data'!$E$2:$E$995,'Sales Data'!$C$2:$C$995,M8)</f>
        <v>363</v>
      </c>
      <c r="Q8" s="28" t="s">
        <v>61</v>
      </c>
      <c r="R8" s="26" t="n">
        <f aca="false">SUMIFS('Sales Data'!$F$2:$F$995,'Sales Data'!$C$2:$C$995,Q8)</f>
        <v>148304000</v>
      </c>
      <c r="S8" s="27" t="n">
        <f aca="false">SUMIFS('Sales Data'!$E$2:$E$995,'Sales Data'!$C$2:$C$995,Q8)</f>
        <v>496</v>
      </c>
    </row>
    <row r="9" customFormat="false" ht="15" hidden="false" customHeight="false" outlineLevel="0" collapsed="false">
      <c r="A9" s="25" t="n">
        <v>45778</v>
      </c>
      <c r="B9" s="26" t="n">
        <f aca="false">SUMIFS('Sales Data'!$F$2:$F$995,'Sales Data'!$A$2:$A$995,"&gt;="&amp;A9,'Sales Data'!$A$2:$A$995,"&lt;"&amp;EDATE(A9,1))</f>
        <v>0</v>
      </c>
      <c r="C9" s="27" t="n">
        <f aca="false">SUMIFS('Sales Data'!$E$2:$E$995,'Sales Data'!$A$2:$A$995,"&gt;="&amp;A9,'Sales Data'!$A$2:$A$995,"&lt;"&amp;EDATE(A9,1))</f>
        <v>0</v>
      </c>
      <c r="M9" s="28" t="s">
        <v>62</v>
      </c>
      <c r="N9" s="26" t="n">
        <f aca="false">SUMIFS('Sales Data'!$F$2:$F$995,'Sales Data'!$C$2:$C$995,M9)</f>
        <v>166400000</v>
      </c>
      <c r="O9" s="27" t="n">
        <f aca="false">SUMIFS('Sales Data'!$E$2:$E$995,'Sales Data'!$C$2:$C$995,M9)</f>
        <v>256</v>
      </c>
      <c r="Q9" s="28" t="s">
        <v>63</v>
      </c>
      <c r="R9" s="26" t="n">
        <f aca="false">SUMIFS('Sales Data'!$F$2:$F$995,'Sales Data'!$C$2:$C$995,Q9)</f>
        <v>48151800</v>
      </c>
      <c r="S9" s="27" t="n">
        <f aca="false">SUMIFS('Sales Data'!$E$2:$E$995,'Sales Data'!$C$2:$C$995,Q9)</f>
        <v>482</v>
      </c>
    </row>
    <row r="10" customFormat="false" ht="15" hidden="false" customHeight="false" outlineLevel="0" collapsed="false">
      <c r="A10" s="25" t="n">
        <v>45809</v>
      </c>
      <c r="B10" s="26" t="n">
        <f aca="false">SUMIFS('Sales Data'!$F$2:$F$995,'Sales Data'!$A$2:$A$995,"&gt;="&amp;A10,'Sales Data'!$A$2:$A$995,"&lt;"&amp;EDATE(A10,1))</f>
        <v>1522120700</v>
      </c>
      <c r="C10" s="27" t="n">
        <f aca="false">SUMIFS('Sales Data'!$E$2:$E$995,'Sales Data'!$A$2:$A$995,"&gt;="&amp;A10,'Sales Data'!$A$2:$A$995,"&lt;"&amp;EDATE(A10,1))</f>
        <v>6095</v>
      </c>
      <c r="M10" s="28" t="s">
        <v>61</v>
      </c>
      <c r="N10" s="26" t="n">
        <f aca="false">SUMIFS('Sales Data'!$F$2:$F$995,'Sales Data'!$C$2:$C$995,M10)</f>
        <v>148304000</v>
      </c>
      <c r="O10" s="27" t="n">
        <f aca="false">SUMIFS('Sales Data'!$E$2:$E$995,'Sales Data'!$C$2:$C$995,M10)</f>
        <v>496</v>
      </c>
      <c r="Q10" s="28" t="s">
        <v>64</v>
      </c>
      <c r="R10" s="26" t="n">
        <f aca="false">SUMIFS('Sales Data'!$F$2:$F$995,'Sales Data'!$C$2:$C$995,Q10)</f>
        <v>119040000</v>
      </c>
      <c r="S10" s="27" t="n">
        <f aca="false">SUMIFS('Sales Data'!$E$2:$E$995,'Sales Data'!$C$2:$C$995,Q10)</f>
        <v>480</v>
      </c>
    </row>
    <row r="11" customFormat="false" ht="15" hidden="false" customHeight="false" outlineLevel="0" collapsed="false">
      <c r="A11" s="25" t="n">
        <v>45839</v>
      </c>
      <c r="B11" s="26" t="n">
        <f aca="false">SUMIFS('Sales Data'!$F$2:$F$995,'Sales Data'!$A$2:$A$995,"&gt;="&amp;A11,'Sales Data'!$A$2:$A$995,"&lt;"&amp;EDATE(A11,1))</f>
        <v>1490582700</v>
      </c>
      <c r="C11" s="27" t="n">
        <f aca="false">SUMIFS('Sales Data'!$E$2:$E$995,'Sales Data'!$A$2:$A$995,"&gt;="&amp;A11,'Sales Data'!$A$2:$A$995,"&lt;"&amp;EDATE(A11,1))</f>
        <v>5845</v>
      </c>
      <c r="M11" s="28" t="s">
        <v>65</v>
      </c>
      <c r="N11" s="26" t="n">
        <f aca="false">SUMIFS('Sales Data'!$F$2:$F$995,'Sales Data'!$C$2:$C$995,M11)</f>
        <v>147315000</v>
      </c>
      <c r="O11" s="27" t="n">
        <f aca="false">SUMIFS('Sales Data'!$E$2:$E$995,'Sales Data'!$C$2:$C$995,M11)</f>
        <v>427</v>
      </c>
      <c r="Q11" s="28" t="s">
        <v>51</v>
      </c>
      <c r="R11" s="26" t="n">
        <f aca="false">SUMIFS('Sales Data'!$F$2:$F$995,'Sales Data'!$C$2:$C$995,Q11)</f>
        <v>327275000</v>
      </c>
      <c r="S11" s="27" t="n">
        <f aca="false">SUMIFS('Sales Data'!$E$2:$E$995,'Sales Data'!$C$2:$C$995,Q11)</f>
        <v>475</v>
      </c>
    </row>
    <row r="12" customFormat="false" ht="15" hidden="false" customHeight="false" outlineLevel="0" collapsed="false">
      <c r="A12" s="25" t="n">
        <v>45870</v>
      </c>
      <c r="B12" s="26" t="n">
        <f aca="false">SUMIFS('Sales Data'!$F$2:$F$995,'Sales Data'!$A$2:$A$995,"&gt;="&amp;A12,'Sales Data'!$A$2:$A$995,"&lt;"&amp;EDATE(A12,1))</f>
        <v>1445367500</v>
      </c>
      <c r="C12" s="27" t="n">
        <f aca="false">SUMIFS('Sales Data'!$E$2:$E$995,'Sales Data'!$A$2:$A$995,"&gt;="&amp;A12,'Sales Data'!$A$2:$A$995,"&lt;"&amp;EDATE(A12,1))</f>
        <v>5658</v>
      </c>
      <c r="M12" s="28" t="s">
        <v>66</v>
      </c>
      <c r="N12" s="26" t="n">
        <f aca="false">SUMIFS('Sales Data'!$F$2:$F$995,'Sales Data'!$C$2:$C$995,M12)</f>
        <v>144474000</v>
      </c>
      <c r="O12" s="27" t="n">
        <f aca="false">SUMIFS('Sales Data'!$E$2:$E$995,'Sales Data'!$C$2:$C$995,M12)</f>
        <v>363</v>
      </c>
      <c r="Q12" s="28" t="s">
        <v>67</v>
      </c>
      <c r="R12" s="26" t="n">
        <f aca="false">SUMIFS('Sales Data'!$F$2:$F$995,'Sales Data'!$C$2:$C$995,Q12)</f>
        <v>114500000</v>
      </c>
      <c r="S12" s="27" t="n">
        <f aca="false">SUMIFS('Sales Data'!$E$2:$E$995,'Sales Data'!$C$2:$C$995,Q12)</f>
        <v>458</v>
      </c>
    </row>
    <row r="13" customFormat="false" ht="15" hidden="false" customHeight="false" outlineLevel="0" collapsed="false">
      <c r="M13" s="28" t="s">
        <v>68</v>
      </c>
      <c r="N13" s="26" t="n">
        <f aca="false">SUMIFS('Sales Data'!$F$2:$F$995,'Sales Data'!$C$2:$C$995,M13)</f>
        <v>143541000</v>
      </c>
      <c r="O13" s="27" t="n">
        <f aca="false">SUMIFS('Sales Data'!$E$2:$E$995,'Sales Data'!$C$2:$C$995,M13)</f>
        <v>369</v>
      </c>
      <c r="Q13" s="28" t="s">
        <v>69</v>
      </c>
      <c r="R13" s="26" t="n">
        <f aca="false">SUMIFS('Sales Data'!$F$2:$F$995,'Sales Data'!$C$2:$C$995,Q13)</f>
        <v>75359300</v>
      </c>
      <c r="S13" s="27" t="n">
        <f aca="false">SUMIFS('Sales Data'!$E$2:$E$995,'Sales Data'!$C$2:$C$995,Q13)</f>
        <v>457</v>
      </c>
    </row>
    <row r="14" customFormat="false" ht="15" hidden="false" customHeight="false" outlineLevel="0" collapsed="false">
      <c r="M14" s="28" t="s">
        <v>70</v>
      </c>
      <c r="N14" s="26" t="n">
        <f aca="false">SUMIFS('Sales Data'!$F$2:$F$995,'Sales Data'!$C$2:$C$995,M14)</f>
        <v>136320000</v>
      </c>
      <c r="O14" s="27" t="n">
        <f aca="false">SUMIFS('Sales Data'!$E$2:$E$995,'Sales Data'!$C$2:$C$995,M14)</f>
        <v>426</v>
      </c>
      <c r="Q14" s="28" t="s">
        <v>71</v>
      </c>
      <c r="R14" s="26" t="n">
        <f aca="false">SUMIFS('Sales Data'!$F$2:$F$995,'Sales Data'!$C$2:$C$995,Q14)</f>
        <v>70620000</v>
      </c>
      <c r="S14" s="27" t="n">
        <f aca="false">SUMIFS('Sales Data'!$E$2:$E$995,'Sales Data'!$C$2:$C$995,Q14)</f>
        <v>428</v>
      </c>
    </row>
    <row r="20" customFormat="false" ht="15" hidden="false" customHeight="false" outlineLevel="0" collapsed="false">
      <c r="A20" s="23" t="s">
        <v>72</v>
      </c>
      <c r="E20" s="23" t="s">
        <v>73</v>
      </c>
    </row>
    <row r="21" customFormat="false" ht="15" hidden="false" customHeight="false" outlineLevel="0" collapsed="false">
      <c r="A21" s="24" t="s">
        <v>31</v>
      </c>
      <c r="B21" s="24" t="s">
        <v>74</v>
      </c>
      <c r="C21" s="24" t="s">
        <v>75</v>
      </c>
      <c r="E21" s="24" t="s">
        <v>31</v>
      </c>
      <c r="F21" s="24" t="s">
        <v>74</v>
      </c>
      <c r="G21" s="24" t="s">
        <v>35</v>
      </c>
      <c r="H21" s="24" t="s">
        <v>36</v>
      </c>
      <c r="I21" s="24" t="s">
        <v>76</v>
      </c>
      <c r="J21" s="24" t="s">
        <v>77</v>
      </c>
    </row>
    <row r="22" customFormat="false" ht="15" hidden="false" customHeight="false" outlineLevel="0" collapsed="false">
      <c r="A22" s="28" t="s">
        <v>78</v>
      </c>
      <c r="B22" s="30" t="n">
        <f aca="false">COUNTIF(Products!$C$2:$C$51,A22)</f>
        <v>12</v>
      </c>
      <c r="C22" s="29" t="n">
        <f aca="false">B22/SUM(B$22:B$38)</f>
        <v>0.24</v>
      </c>
      <c r="E22" s="28" t="s">
        <v>78</v>
      </c>
      <c r="F22" s="30" t="n">
        <f aca="false">COUNTIF(Products!$C$2:$C$51,E22)</f>
        <v>12</v>
      </c>
      <c r="G22" s="27" t="n">
        <f aca="false">SUMIFS('Sales Data'!$E$2:$E$995,'Sales Data'!$H$2:$H$995,E22)</f>
        <v>4056</v>
      </c>
      <c r="H22" s="26" t="n">
        <f aca="false">SUMIFS('Sales Data'!$F$2:$F$995,'Sales Data'!$H$2:$H$995,E22)</f>
        <v>747176900</v>
      </c>
      <c r="I22" s="29" t="n">
        <f aca="false">H22/SUM(H$22:H$38)</f>
        <v>0.167547356464075</v>
      </c>
      <c r="J22" s="26" t="n">
        <f aca="false">IFERROR(H22/F22,0)</f>
        <v>62264741.6666667</v>
      </c>
    </row>
    <row r="23" customFormat="false" ht="15" hidden="false" customHeight="false" outlineLevel="0" collapsed="false">
      <c r="A23" s="28" t="s">
        <v>79</v>
      </c>
      <c r="B23" s="30" t="n">
        <f aca="false">COUNTIF(Products!$C$2:$C$51,A23)</f>
        <v>7</v>
      </c>
      <c r="C23" s="29" t="n">
        <f aca="false">B23/SUM(B$22:B$38)</f>
        <v>0.14</v>
      </c>
      <c r="E23" s="28" t="s">
        <v>80</v>
      </c>
      <c r="F23" s="30" t="n">
        <f aca="false">COUNTIF(Products!$C$2:$C$51,E23)</f>
        <v>4</v>
      </c>
      <c r="G23" s="27" t="n">
        <f aca="false">SUMIFS('Sales Data'!$E$2:$E$995,'Sales Data'!$H$2:$H$995,E23)</f>
        <v>1427</v>
      </c>
      <c r="H23" s="26" t="n">
        <f aca="false">SUMIFS('Sales Data'!$F$2:$F$995,'Sales Data'!$H$2:$H$995,E23)</f>
        <v>635054000</v>
      </c>
      <c r="I23" s="29" t="n">
        <f aca="false">H23/SUM(H$22:H$38)</f>
        <v>0.14240485608152</v>
      </c>
      <c r="J23" s="26" t="n">
        <f aca="false">IFERROR(H23/F23,0)</f>
        <v>158763500</v>
      </c>
    </row>
    <row r="24" customFormat="false" ht="15" hidden="false" customHeight="false" outlineLevel="0" collapsed="false">
      <c r="A24" s="28" t="s">
        <v>81</v>
      </c>
      <c r="B24" s="30" t="n">
        <f aca="false">COUNTIF(Products!$C$2:$C$51,A24)</f>
        <v>4</v>
      </c>
      <c r="C24" s="29" t="n">
        <f aca="false">B24/SUM(B$22:B$38)</f>
        <v>0.08</v>
      </c>
      <c r="E24" s="28" t="s">
        <v>79</v>
      </c>
      <c r="F24" s="30" t="n">
        <f aca="false">COUNTIF(Products!$C$2:$C$51,E24)</f>
        <v>7</v>
      </c>
      <c r="G24" s="27" t="n">
        <f aca="false">SUMIFS('Sales Data'!$E$2:$E$995,'Sales Data'!$H$2:$H$995,E24)</f>
        <v>2150</v>
      </c>
      <c r="H24" s="26" t="n">
        <f aca="false">SUMIFS('Sales Data'!$F$2:$F$995,'Sales Data'!$H$2:$H$995,E24)</f>
        <v>563310000</v>
      </c>
      <c r="I24" s="29" t="n">
        <f aca="false">H24/SUM(H$22:H$38)</f>
        <v>0.126316942306136</v>
      </c>
      <c r="J24" s="26" t="n">
        <f aca="false">IFERROR(H24/F24,0)</f>
        <v>80472857.1428572</v>
      </c>
    </row>
    <row r="25" customFormat="false" ht="15" hidden="false" customHeight="false" outlineLevel="0" collapsed="false">
      <c r="A25" s="28" t="s">
        <v>82</v>
      </c>
      <c r="B25" s="30" t="n">
        <f aca="false">COUNTIF(Products!$C$2:$C$51,A25)</f>
        <v>4</v>
      </c>
      <c r="C25" s="29" t="n">
        <f aca="false">B25/SUM(B$22:B$38)</f>
        <v>0.08</v>
      </c>
      <c r="E25" s="28" t="s">
        <v>83</v>
      </c>
      <c r="F25" s="30" t="n">
        <f aca="false">COUNTIF(Products!$C$2:$C$51,E25)</f>
        <v>2</v>
      </c>
      <c r="G25" s="27" t="n">
        <f aca="false">SUMIFS('Sales Data'!$E$2:$E$995,'Sales Data'!$H$2:$H$995,E25)</f>
        <v>702</v>
      </c>
      <c r="H25" s="26" t="n">
        <f aca="false">SUMIFS('Sales Data'!$F$2:$F$995,'Sales Data'!$H$2:$H$995,E25)</f>
        <v>553140000</v>
      </c>
      <c r="I25" s="29" t="n">
        <f aca="false">H25/SUM(H$22:H$38)</f>
        <v>0.124036415947198</v>
      </c>
      <c r="J25" s="26" t="n">
        <f aca="false">IFERROR(H25/F25,0)</f>
        <v>276570000</v>
      </c>
    </row>
    <row r="26" customFormat="false" ht="15" hidden="false" customHeight="false" outlineLevel="0" collapsed="false">
      <c r="A26" s="28" t="s">
        <v>80</v>
      </c>
      <c r="B26" s="30" t="n">
        <f aca="false">COUNTIF(Products!$C$2:$C$51,A26)</f>
        <v>4</v>
      </c>
      <c r="C26" s="29" t="n">
        <f aca="false">B26/SUM(B$22:B$38)</f>
        <v>0.08</v>
      </c>
      <c r="E26" s="28" t="s">
        <v>82</v>
      </c>
      <c r="F26" s="30" t="n">
        <f aca="false">COUNTIF(Products!$C$2:$C$51,E26)</f>
        <v>4</v>
      </c>
      <c r="G26" s="27" t="n">
        <f aca="false">SUMIFS('Sales Data'!$E$2:$E$995,'Sales Data'!$H$2:$H$995,E26)</f>
        <v>1556</v>
      </c>
      <c r="H26" s="26" t="n">
        <f aca="false">SUMIFS('Sales Data'!$F$2:$F$995,'Sales Data'!$H$2:$H$995,E26)</f>
        <v>392804700</v>
      </c>
      <c r="I26" s="29" t="n">
        <f aca="false">H26/SUM(H$22:H$38)</f>
        <v>0.0880827406356699</v>
      </c>
      <c r="J26" s="26" t="n">
        <f aca="false">IFERROR(H26/F26,0)</f>
        <v>98201175</v>
      </c>
    </row>
    <row r="27" customFormat="false" ht="15" hidden="false" customHeight="false" outlineLevel="0" collapsed="false">
      <c r="A27" s="28" t="s">
        <v>84</v>
      </c>
      <c r="B27" s="30" t="n">
        <f aca="false">COUNTIF(Products!$C$2:$C$51,A27)</f>
        <v>3</v>
      </c>
      <c r="C27" s="29" t="n">
        <f aca="false">B27/SUM(B$22:B$38)</f>
        <v>0.06</v>
      </c>
      <c r="E27" s="28" t="s">
        <v>81</v>
      </c>
      <c r="F27" s="30" t="n">
        <f aca="false">COUNTIF(Products!$C$2:$C$51,E27)</f>
        <v>4</v>
      </c>
      <c r="G27" s="27" t="n">
        <f aca="false">SUMIFS('Sales Data'!$E$2:$E$995,'Sales Data'!$H$2:$H$995,E27)</f>
        <v>1425</v>
      </c>
      <c r="H27" s="26" t="n">
        <f aca="false">SUMIFS('Sales Data'!$F$2:$F$995,'Sales Data'!$H$2:$H$995,E27)</f>
        <v>372471000</v>
      </c>
      <c r="I27" s="29" t="n">
        <f aca="false">H27/SUM(H$22:H$38)</f>
        <v>0.0835231006332374</v>
      </c>
      <c r="J27" s="26" t="n">
        <f aca="false">IFERROR(H27/F27,0)</f>
        <v>93117750</v>
      </c>
    </row>
    <row r="28" customFormat="false" ht="15" hidden="false" customHeight="false" outlineLevel="0" collapsed="false">
      <c r="A28" s="28" t="s">
        <v>85</v>
      </c>
      <c r="B28" s="30" t="n">
        <f aca="false">COUNTIF(Products!$C$2:$C$51,A28)</f>
        <v>3</v>
      </c>
      <c r="C28" s="29" t="n">
        <f aca="false">B28/SUM(B$22:B$38)</f>
        <v>0.06</v>
      </c>
      <c r="E28" s="28" t="s">
        <v>85</v>
      </c>
      <c r="F28" s="30" t="n">
        <f aca="false">COUNTIF(Products!$C$2:$C$51,E28)</f>
        <v>3</v>
      </c>
      <c r="G28" s="27" t="n">
        <f aca="false">SUMIFS('Sales Data'!$E$2:$E$995,'Sales Data'!$H$2:$H$995,E28)</f>
        <v>1165</v>
      </c>
      <c r="H28" s="26" t="n">
        <f aca="false">SUMIFS('Sales Data'!$F$2:$F$995,'Sales Data'!$H$2:$H$995,E28)</f>
        <v>306517800</v>
      </c>
      <c r="I28" s="29" t="n">
        <f aca="false">H28/SUM(H$22:H$38)</f>
        <v>0.068733719015114</v>
      </c>
      <c r="J28" s="26" t="n">
        <f aca="false">IFERROR(H28/F28,0)</f>
        <v>102172600</v>
      </c>
    </row>
    <row r="29" customFormat="false" ht="15" hidden="false" customHeight="false" outlineLevel="0" collapsed="false">
      <c r="A29" s="28" t="s">
        <v>86</v>
      </c>
      <c r="B29" s="30" t="n">
        <f aca="false">COUNTIF(Products!$C$2:$C$51,A29)</f>
        <v>2</v>
      </c>
      <c r="C29" s="29" t="n">
        <f aca="false">B29/SUM(B$22:B$38)</f>
        <v>0.04</v>
      </c>
      <c r="E29" s="28" t="s">
        <v>86</v>
      </c>
      <c r="F29" s="30" t="n">
        <f aca="false">COUNTIF(Products!$C$2:$C$51,E29)</f>
        <v>2</v>
      </c>
      <c r="G29" s="27" t="n">
        <f aca="false">SUMIFS('Sales Data'!$E$2:$E$995,'Sales Data'!$H$2:$H$995,E29)</f>
        <v>578</v>
      </c>
      <c r="H29" s="26" t="n">
        <f aca="false">SUMIFS('Sales Data'!$F$2:$F$995,'Sales Data'!$H$2:$H$995,E29)</f>
        <v>169052000</v>
      </c>
      <c r="I29" s="29" t="n">
        <f aca="false">H29/SUM(H$22:H$38)</f>
        <v>0.0379083128840904</v>
      </c>
      <c r="J29" s="26" t="n">
        <f aca="false">IFERROR(H29/F29,0)</f>
        <v>84526000</v>
      </c>
    </row>
    <row r="30" customFormat="false" ht="15" hidden="false" customHeight="false" outlineLevel="0" collapsed="false">
      <c r="A30" s="28" t="s">
        <v>87</v>
      </c>
      <c r="B30" s="30" t="n">
        <f aca="false">COUNTIF(Products!$C$2:$C$51,A30)</f>
        <v>2</v>
      </c>
      <c r="C30" s="29" t="n">
        <f aca="false">B30/SUM(B$22:B$38)</f>
        <v>0.04</v>
      </c>
      <c r="E30" s="28" t="s">
        <v>88</v>
      </c>
      <c r="F30" s="30" t="n">
        <f aca="false">COUNTIF(Products!$C$2:$C$51,E30)</f>
        <v>1</v>
      </c>
      <c r="G30" s="27" t="n">
        <f aca="false">SUMIFS('Sales Data'!$E$2:$E$995,'Sales Data'!$H$2:$H$995,E30)</f>
        <v>427</v>
      </c>
      <c r="H30" s="26" t="n">
        <f aca="false">SUMIFS('Sales Data'!$F$2:$F$995,'Sales Data'!$H$2:$H$995,E30)</f>
        <v>147315000</v>
      </c>
      <c r="I30" s="29" t="n">
        <f aca="false">H30/SUM(H$22:H$38)</f>
        <v>0.0330339961226119</v>
      </c>
      <c r="J30" s="26" t="n">
        <f aca="false">IFERROR(H30/F30,0)</f>
        <v>147315000</v>
      </c>
    </row>
    <row r="31" customFormat="false" ht="15" hidden="false" customHeight="false" outlineLevel="0" collapsed="false">
      <c r="A31" s="28" t="s">
        <v>83</v>
      </c>
      <c r="B31" s="30" t="n">
        <f aca="false">COUNTIF(Products!$C$2:$C$51,A31)</f>
        <v>2</v>
      </c>
      <c r="C31" s="29" t="n">
        <f aca="false">B31/SUM(B$22:B$38)</f>
        <v>0.04</v>
      </c>
      <c r="E31" s="28" t="s">
        <v>89</v>
      </c>
      <c r="F31" s="30" t="n">
        <f aca="false">COUNTIF(Products!$C$2:$C$51,E31)</f>
        <v>1</v>
      </c>
      <c r="G31" s="27" t="n">
        <f aca="false">SUMIFS('Sales Data'!$E$2:$E$995,'Sales Data'!$H$2:$H$995,E31)</f>
        <v>458</v>
      </c>
      <c r="H31" s="26" t="n">
        <f aca="false">SUMIFS('Sales Data'!$F$2:$F$995,'Sales Data'!$H$2:$H$995,E31)</f>
        <v>114500000</v>
      </c>
      <c r="I31" s="29" t="n">
        <f aca="false">H31/SUM(H$22:H$38)</f>
        <v>0.025675542585881</v>
      </c>
      <c r="J31" s="26" t="n">
        <f aca="false">IFERROR(H31/F31,0)</f>
        <v>114500000</v>
      </c>
    </row>
    <row r="32" customFormat="false" ht="15" hidden="false" customHeight="false" outlineLevel="0" collapsed="false">
      <c r="A32" s="28" t="s">
        <v>89</v>
      </c>
      <c r="B32" s="30" t="n">
        <f aca="false">COUNTIF(Products!$C$2:$C$51,A32)</f>
        <v>1</v>
      </c>
      <c r="C32" s="29" t="n">
        <f aca="false">B32/SUM(B$22:B$38)</f>
        <v>0.02</v>
      </c>
      <c r="E32" s="28" t="s">
        <v>84</v>
      </c>
      <c r="F32" s="30" t="n">
        <f aca="false">COUNTIF(Products!$C$2:$C$51,E32)</f>
        <v>3</v>
      </c>
      <c r="G32" s="27" t="n">
        <f aca="false">SUMIFS('Sales Data'!$E$2:$E$995,'Sales Data'!$H$2:$H$995,E32)</f>
        <v>812</v>
      </c>
      <c r="H32" s="26" t="n">
        <f aca="false">SUMIFS('Sales Data'!$F$2:$F$995,'Sales Data'!$H$2:$H$995,E32)</f>
        <v>90240800</v>
      </c>
      <c r="I32" s="29" t="n">
        <f aca="false">H32/SUM(H$22:H$38)</f>
        <v>0.0202356463177639</v>
      </c>
      <c r="J32" s="26" t="n">
        <f aca="false">IFERROR(H32/F32,0)</f>
        <v>30080266.6666667</v>
      </c>
    </row>
    <row r="33" customFormat="false" ht="15" hidden="false" customHeight="false" outlineLevel="0" collapsed="false">
      <c r="A33" s="28" t="s">
        <v>90</v>
      </c>
      <c r="B33" s="30" t="n">
        <f aca="false">COUNTIF(Products!$C$2:$C$51,A33)</f>
        <v>1</v>
      </c>
      <c r="C33" s="29" t="n">
        <f aca="false">B33/SUM(B$22:B$38)</f>
        <v>0.02</v>
      </c>
      <c r="E33" s="28" t="s">
        <v>91</v>
      </c>
      <c r="F33" s="30" t="n">
        <f aca="false">COUNTIF(Products!$C$2:$C$51,E33)</f>
        <v>1</v>
      </c>
      <c r="G33" s="27" t="n">
        <f aca="false">SUMIFS('Sales Data'!$E$2:$E$995,'Sales Data'!$H$2:$H$995,E33)</f>
        <v>304</v>
      </c>
      <c r="H33" s="26" t="n">
        <f aca="false">SUMIFS('Sales Data'!$F$2:$F$995,'Sales Data'!$H$2:$H$995,E33)</f>
        <v>89680000</v>
      </c>
      <c r="I33" s="29" t="n">
        <f aca="false">H33/SUM(H$22:H$38)</f>
        <v>0.0201098922192298</v>
      </c>
      <c r="J33" s="26" t="n">
        <f aca="false">IFERROR(H33/F33,0)</f>
        <v>89680000</v>
      </c>
    </row>
    <row r="34" customFormat="false" ht="15" hidden="false" customHeight="false" outlineLevel="0" collapsed="false">
      <c r="A34" s="28" t="s">
        <v>92</v>
      </c>
      <c r="B34" s="30" t="n">
        <f aca="false">COUNTIF(Products!$C$2:$C$51,A34)</f>
        <v>1</v>
      </c>
      <c r="C34" s="29" t="n">
        <f aca="false">B34/SUM(B$22:B$38)</f>
        <v>0.02</v>
      </c>
      <c r="E34" s="28" t="s">
        <v>92</v>
      </c>
      <c r="F34" s="30" t="n">
        <f aca="false">COUNTIF(Products!$C$2:$C$51,E34)</f>
        <v>1</v>
      </c>
      <c r="G34" s="27" t="n">
        <f aca="false">SUMIFS('Sales Data'!$E$2:$E$995,'Sales Data'!$H$2:$H$995,E34)</f>
        <v>418</v>
      </c>
      <c r="H34" s="26" t="n">
        <f aca="false">SUMIFS('Sales Data'!$F$2:$F$995,'Sales Data'!$H$2:$H$995,E34)</f>
        <v>83558200</v>
      </c>
      <c r="I34" s="29" t="n">
        <f aca="false">H34/SUM(H$22:H$38)</f>
        <v>0.0187371364410442</v>
      </c>
      <c r="J34" s="26" t="n">
        <f aca="false">IFERROR(H34/F34,0)</f>
        <v>83558200</v>
      </c>
    </row>
    <row r="35" customFormat="false" ht="15" hidden="false" customHeight="false" outlineLevel="0" collapsed="false">
      <c r="A35" s="28" t="s">
        <v>91</v>
      </c>
      <c r="B35" s="30" t="n">
        <f aca="false">COUNTIF(Products!$C$2:$C$51,A35)</f>
        <v>1</v>
      </c>
      <c r="C35" s="29" t="n">
        <f aca="false">B35/SUM(B$22:B$38)</f>
        <v>0.02</v>
      </c>
      <c r="E35" s="28" t="s">
        <v>90</v>
      </c>
      <c r="F35" s="30" t="n">
        <f aca="false">COUNTIF(Products!$C$2:$C$51,E35)</f>
        <v>1</v>
      </c>
      <c r="G35" s="27" t="n">
        <f aca="false">SUMIFS('Sales Data'!$E$2:$E$995,'Sales Data'!$H$2:$H$995,E35)</f>
        <v>362</v>
      </c>
      <c r="H35" s="26" t="n">
        <f aca="false">SUMIFS('Sales Data'!$F$2:$F$995,'Sales Data'!$H$2:$H$995,E35)</f>
        <v>65884000</v>
      </c>
      <c r="I35" s="29" t="n">
        <f aca="false">H35/SUM(H$22:H$38)</f>
        <v>0.0147738641722985</v>
      </c>
      <c r="J35" s="26" t="n">
        <f aca="false">IFERROR(H35/F35,0)</f>
        <v>65884000</v>
      </c>
    </row>
    <row r="36" customFormat="false" ht="15" hidden="false" customHeight="false" outlineLevel="0" collapsed="false">
      <c r="A36" s="28" t="s">
        <v>93</v>
      </c>
      <c r="B36" s="30" t="n">
        <f aca="false">COUNTIF(Products!$C$2:$C$51,A36)</f>
        <v>1</v>
      </c>
      <c r="C36" s="29" t="n">
        <f aca="false">B36/SUM(B$22:B$38)</f>
        <v>0.02</v>
      </c>
      <c r="E36" s="28" t="s">
        <v>87</v>
      </c>
      <c r="F36" s="30" t="n">
        <f aca="false">COUNTIF(Products!$C$2:$C$51,E36)</f>
        <v>2</v>
      </c>
      <c r="G36" s="27" t="n">
        <f aca="false">SUMIFS('Sales Data'!$E$2:$E$995,'Sales Data'!$H$2:$H$995,E36)</f>
        <v>902</v>
      </c>
      <c r="H36" s="26" t="n">
        <f aca="false">SUMIFS('Sales Data'!$F$2:$F$995,'Sales Data'!$H$2:$H$995,E36)</f>
        <v>53425100</v>
      </c>
      <c r="I36" s="29" t="n">
        <f aca="false">H36/SUM(H$22:H$38)</f>
        <v>0.0119800736262441</v>
      </c>
      <c r="J36" s="26" t="n">
        <f aca="false">IFERROR(H36/F36,0)</f>
        <v>26712550</v>
      </c>
    </row>
    <row r="37" customFormat="false" ht="15" hidden="false" customHeight="false" outlineLevel="0" collapsed="false">
      <c r="A37" s="28" t="s">
        <v>88</v>
      </c>
      <c r="B37" s="30" t="n">
        <f aca="false">COUNTIF(Products!$C$2:$C$51,A37)</f>
        <v>1</v>
      </c>
      <c r="C37" s="29" t="n">
        <f aca="false">B37/SUM(B$22:B$38)</f>
        <v>0.02</v>
      </c>
      <c r="E37" s="28" t="s">
        <v>94</v>
      </c>
      <c r="F37" s="30" t="n">
        <f aca="false">COUNTIF(Products!$C$2:$C$51,E37)</f>
        <v>1</v>
      </c>
      <c r="G37" s="27" t="n">
        <f aca="false">SUMIFS('Sales Data'!$E$2:$E$995,'Sales Data'!$H$2:$H$995,E37)</f>
        <v>482</v>
      </c>
      <c r="H37" s="26" t="n">
        <f aca="false">SUMIFS('Sales Data'!$F$2:$F$995,'Sales Data'!$H$2:$H$995,E37)</f>
        <v>48151800</v>
      </c>
      <c r="I37" s="29" t="n">
        <f aca="false">H37/SUM(H$22:H$38)</f>
        <v>0.01079758595185</v>
      </c>
      <c r="J37" s="26" t="n">
        <f aca="false">IFERROR(H37/F37,0)</f>
        <v>48151800</v>
      </c>
    </row>
    <row r="38" customFormat="false" ht="15" hidden="false" customHeight="false" outlineLevel="0" collapsed="false">
      <c r="A38" s="28" t="s">
        <v>94</v>
      </c>
      <c r="B38" s="30" t="n">
        <f aca="false">COUNTIF(Products!$C$2:$C$51,A38)</f>
        <v>1</v>
      </c>
      <c r="C38" s="29" t="n">
        <f aca="false">B38/SUM(B$22:B$38)</f>
        <v>0.02</v>
      </c>
      <c r="E38" s="28" t="s">
        <v>93</v>
      </c>
      <c r="F38" s="30" t="n">
        <f aca="false">COUNTIF(Products!$C$2:$C$51,E38)</f>
        <v>1</v>
      </c>
      <c r="G38" s="27" t="n">
        <f aca="false">SUMIFS('Sales Data'!$E$2:$E$995,'Sales Data'!$H$2:$H$995,E38)</f>
        <v>395</v>
      </c>
      <c r="H38" s="26" t="n">
        <f aca="false">SUMIFS('Sales Data'!$F$2:$F$995,'Sales Data'!$H$2:$H$995,E38)</f>
        <v>27215500</v>
      </c>
      <c r="I38" s="29" t="n">
        <f aca="false">H38/SUM(H$22:H$38)</f>
        <v>0.00610281859603532</v>
      </c>
      <c r="J38" s="26" t="n">
        <f aca="false">IFERROR(H38/F38,0)</f>
        <v>27215500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16"/>
    <col collapsed="false" customWidth="true" hidden="false" outlineLevel="0" max="4" min="4" style="0" width="14"/>
    <col collapsed="false" customWidth="true" hidden="false" outlineLevel="0" max="6" min="5" style="0" width="20"/>
    <col collapsed="false" customWidth="true" hidden="false" outlineLevel="0" max="7" min="7" style="0" width="12"/>
    <col collapsed="false" customWidth="true" hidden="false" outlineLevel="0" max="8" min="8" style="0" width="16"/>
  </cols>
  <sheetData>
    <row r="1" customFormat="false" ht="15" hidden="false" customHeight="false" outlineLevel="0" collapsed="false">
      <c r="A1" s="24" t="s">
        <v>95</v>
      </c>
      <c r="B1" s="24" t="s">
        <v>30</v>
      </c>
      <c r="C1" s="24" t="s">
        <v>96</v>
      </c>
      <c r="D1" s="24" t="s">
        <v>32</v>
      </c>
      <c r="E1" s="24" t="s">
        <v>97</v>
      </c>
      <c r="F1" s="24" t="s">
        <v>98</v>
      </c>
      <c r="G1" s="24" t="s">
        <v>35</v>
      </c>
      <c r="H1" s="24" t="s">
        <v>36</v>
      </c>
    </row>
    <row r="2" customFormat="false" ht="15" hidden="false" customHeight="false" outlineLevel="0" collapsed="false">
      <c r="A2" s="28" t="n">
        <v>37</v>
      </c>
      <c r="B2" s="28" t="s">
        <v>99</v>
      </c>
      <c r="C2" s="28" t="s">
        <v>82</v>
      </c>
      <c r="D2" s="31" t="n">
        <v>369000</v>
      </c>
      <c r="E2" s="28" t="n">
        <v>2023</v>
      </c>
      <c r="F2" s="28" t="n">
        <v>2024</v>
      </c>
      <c r="G2" s="27" t="n">
        <f aca="false">SUMIFS('Sales Data'!$E$2:$E$995,'Sales Data'!$C$2:$C$995,B2)</f>
        <v>297</v>
      </c>
      <c r="H2" s="31" t="n">
        <f aca="false">SUMIFS('Sales Data'!$F$2:$F$995,'Sales Data'!$C$2:$C$995,B2)</f>
        <v>109593000</v>
      </c>
    </row>
    <row r="3" customFormat="false" ht="15" hidden="false" customHeight="false" outlineLevel="0" collapsed="false">
      <c r="A3" s="28" t="n">
        <v>15</v>
      </c>
      <c r="B3" s="28" t="s">
        <v>70</v>
      </c>
      <c r="C3" s="28" t="s">
        <v>82</v>
      </c>
      <c r="D3" s="31" t="n">
        <v>320000</v>
      </c>
      <c r="E3" s="28" t="n">
        <v>2023</v>
      </c>
      <c r="F3" s="28" t="n">
        <v>2024</v>
      </c>
      <c r="G3" s="27" t="n">
        <f aca="false">SUMIFS('Sales Data'!$E$2:$E$995,'Sales Data'!$C$2:$C$995,B3)</f>
        <v>426</v>
      </c>
      <c r="H3" s="31" t="n">
        <f aca="false">SUMIFS('Sales Data'!$F$2:$F$995,'Sales Data'!$C$2:$C$995,B3)</f>
        <v>136320000</v>
      </c>
    </row>
    <row r="4" customFormat="false" ht="15" hidden="false" customHeight="false" outlineLevel="0" collapsed="false">
      <c r="A4" s="28" t="n">
        <v>33</v>
      </c>
      <c r="B4" s="28" t="s">
        <v>64</v>
      </c>
      <c r="C4" s="28" t="s">
        <v>82</v>
      </c>
      <c r="D4" s="31" t="n">
        <v>248000</v>
      </c>
      <c r="E4" s="28" t="n">
        <v>2023</v>
      </c>
      <c r="F4" s="28" t="n">
        <v>2024</v>
      </c>
      <c r="G4" s="27" t="n">
        <f aca="false">SUMIFS('Sales Data'!$E$2:$E$995,'Sales Data'!$C$2:$C$995,B4)</f>
        <v>480</v>
      </c>
      <c r="H4" s="31" t="n">
        <f aca="false">SUMIFS('Sales Data'!$F$2:$F$995,'Sales Data'!$C$2:$C$995,B4)</f>
        <v>119040000</v>
      </c>
    </row>
    <row r="5" customFormat="false" ht="15" hidden="false" customHeight="false" outlineLevel="0" collapsed="false">
      <c r="A5" s="28" t="n">
        <v>24</v>
      </c>
      <c r="B5" s="28" t="s">
        <v>100</v>
      </c>
      <c r="C5" s="28" t="s">
        <v>82</v>
      </c>
      <c r="D5" s="31" t="n">
        <v>78900</v>
      </c>
      <c r="E5" s="28" t="n">
        <v>2020</v>
      </c>
      <c r="F5" s="28" t="n">
        <v>2021</v>
      </c>
      <c r="G5" s="27" t="n">
        <f aca="false">SUMIFS('Sales Data'!$E$2:$E$995,'Sales Data'!$C$2:$C$995,B5)</f>
        <v>353</v>
      </c>
      <c r="H5" s="31" t="n">
        <f aca="false">SUMIFS('Sales Data'!$F$2:$F$995,'Sales Data'!$C$2:$C$995,B5)</f>
        <v>27851700</v>
      </c>
    </row>
    <row r="6" customFormat="false" ht="15" hidden="false" customHeight="false" outlineLevel="0" collapsed="false">
      <c r="A6" s="28" t="n">
        <v>7</v>
      </c>
      <c r="B6" s="28" t="s">
        <v>101</v>
      </c>
      <c r="C6" s="28" t="s">
        <v>86</v>
      </c>
      <c r="D6" s="31" t="n">
        <v>328000</v>
      </c>
      <c r="E6" s="28" t="n">
        <v>2022</v>
      </c>
      <c r="F6" s="28" t="n">
        <v>2023</v>
      </c>
      <c r="G6" s="27" t="n">
        <f aca="false">SUMIFS('Sales Data'!$E$2:$E$995,'Sales Data'!$C$2:$C$995,B6)</f>
        <v>230</v>
      </c>
      <c r="H6" s="31" t="n">
        <f aca="false">SUMIFS('Sales Data'!$F$2:$F$995,'Sales Data'!$C$2:$C$995,B6)</f>
        <v>75440000</v>
      </c>
    </row>
    <row r="7" customFormat="false" ht="15" hidden="false" customHeight="false" outlineLevel="0" collapsed="false">
      <c r="A7" s="28" t="n">
        <v>48</v>
      </c>
      <c r="B7" s="28" t="s">
        <v>102</v>
      </c>
      <c r="C7" s="28" t="s">
        <v>86</v>
      </c>
      <c r="D7" s="31" t="n">
        <v>269000</v>
      </c>
      <c r="E7" s="28" t="n">
        <v>2023</v>
      </c>
      <c r="F7" s="28" t="n">
        <v>2024</v>
      </c>
      <c r="G7" s="27" t="n">
        <f aca="false">SUMIFS('Sales Data'!$E$2:$E$995,'Sales Data'!$C$2:$C$995,B7)</f>
        <v>348</v>
      </c>
      <c r="H7" s="31" t="n">
        <f aca="false">SUMIFS('Sales Data'!$F$2:$F$995,'Sales Data'!$C$2:$C$995,B7)</f>
        <v>93612000</v>
      </c>
    </row>
    <row r="8" customFormat="false" ht="15" hidden="false" customHeight="false" outlineLevel="0" collapsed="false">
      <c r="A8" s="28" t="n">
        <v>5</v>
      </c>
      <c r="B8" s="28" t="s">
        <v>67</v>
      </c>
      <c r="C8" s="28" t="s">
        <v>89</v>
      </c>
      <c r="D8" s="31" t="n">
        <v>250000</v>
      </c>
      <c r="E8" s="28" t="n">
        <v>2022</v>
      </c>
      <c r="F8" s="28" t="n">
        <v>2023</v>
      </c>
      <c r="G8" s="27" t="n">
        <f aca="false">SUMIFS('Sales Data'!$E$2:$E$995,'Sales Data'!$C$2:$C$995,B8)</f>
        <v>458</v>
      </c>
      <c r="H8" s="31" t="n">
        <f aca="false">SUMIFS('Sales Data'!$F$2:$F$995,'Sales Data'!$C$2:$C$995,B8)</f>
        <v>114500000</v>
      </c>
    </row>
    <row r="9" customFormat="false" ht="15" hidden="false" customHeight="false" outlineLevel="0" collapsed="false">
      <c r="A9" s="28" t="n">
        <v>28</v>
      </c>
      <c r="B9" s="28" t="s">
        <v>55</v>
      </c>
      <c r="C9" s="28" t="s">
        <v>87</v>
      </c>
      <c r="D9" s="31" t="n">
        <v>67900</v>
      </c>
      <c r="E9" s="28" t="n">
        <v>2021</v>
      </c>
      <c r="F9" s="28" t="n">
        <v>2022</v>
      </c>
      <c r="G9" s="27" t="n">
        <f aca="false">SUMIFS('Sales Data'!$E$2:$E$995,'Sales Data'!$C$2:$C$995,B9)</f>
        <v>509</v>
      </c>
      <c r="H9" s="31" t="n">
        <f aca="false">SUMIFS('Sales Data'!$F$2:$F$995,'Sales Data'!$C$2:$C$995,B9)</f>
        <v>34561100</v>
      </c>
    </row>
    <row r="10" customFormat="false" ht="15" hidden="false" customHeight="false" outlineLevel="0" collapsed="false">
      <c r="A10" s="28" t="n">
        <v>30</v>
      </c>
      <c r="B10" s="28" t="s">
        <v>103</v>
      </c>
      <c r="C10" s="28" t="s">
        <v>87</v>
      </c>
      <c r="D10" s="31" t="n">
        <v>48000</v>
      </c>
      <c r="E10" s="28" t="n">
        <v>2020</v>
      </c>
      <c r="F10" s="28" t="n">
        <v>2021</v>
      </c>
      <c r="G10" s="27" t="n">
        <f aca="false">SUMIFS('Sales Data'!$E$2:$E$995,'Sales Data'!$C$2:$C$995,B10)</f>
        <v>393</v>
      </c>
      <c r="H10" s="31" t="n">
        <f aca="false">SUMIFS('Sales Data'!$F$2:$F$995,'Sales Data'!$C$2:$C$995,B10)</f>
        <v>18864000</v>
      </c>
    </row>
    <row r="11" customFormat="false" ht="15" hidden="false" customHeight="false" outlineLevel="0" collapsed="false">
      <c r="A11" s="28" t="n">
        <v>42</v>
      </c>
      <c r="B11" s="28" t="s">
        <v>62</v>
      </c>
      <c r="C11" s="28" t="s">
        <v>80</v>
      </c>
      <c r="D11" s="31" t="n">
        <v>650000</v>
      </c>
      <c r="E11" s="28" t="n">
        <v>2023</v>
      </c>
      <c r="F11" s="28" t="n">
        <v>2024</v>
      </c>
      <c r="G11" s="27" t="n">
        <f aca="false">SUMIFS('Sales Data'!$E$2:$E$995,'Sales Data'!$C$2:$C$995,B11)</f>
        <v>256</v>
      </c>
      <c r="H11" s="31" t="n">
        <f aca="false">SUMIFS('Sales Data'!$F$2:$F$995,'Sales Data'!$C$2:$C$995,B11)</f>
        <v>166400000</v>
      </c>
    </row>
    <row r="12" customFormat="false" ht="15" hidden="false" customHeight="false" outlineLevel="0" collapsed="false">
      <c r="A12" s="28" t="n">
        <v>32</v>
      </c>
      <c r="B12" s="28" t="s">
        <v>104</v>
      </c>
      <c r="C12" s="28" t="s">
        <v>80</v>
      </c>
      <c r="D12" s="31" t="n">
        <v>499000</v>
      </c>
      <c r="E12" s="28" t="n">
        <v>2020</v>
      </c>
      <c r="F12" s="28" t="n">
        <v>2021</v>
      </c>
      <c r="G12" s="27" t="n">
        <f aca="false">SUMIFS('Sales Data'!$E$2:$E$995,'Sales Data'!$C$2:$C$995,B12)</f>
        <v>212</v>
      </c>
      <c r="H12" s="31" t="n">
        <f aca="false">SUMIFS('Sales Data'!$F$2:$F$995,'Sales Data'!$C$2:$C$995,B12)</f>
        <v>105788000</v>
      </c>
    </row>
    <row r="13" customFormat="false" ht="15" hidden="false" customHeight="false" outlineLevel="0" collapsed="false">
      <c r="A13" s="28" t="n">
        <v>22</v>
      </c>
      <c r="B13" s="28" t="s">
        <v>52</v>
      </c>
      <c r="C13" s="28" t="s">
        <v>80</v>
      </c>
      <c r="D13" s="31" t="n">
        <v>398000</v>
      </c>
      <c r="E13" s="28" t="n">
        <v>2022</v>
      </c>
      <c r="F13" s="28" t="n">
        <v>2023</v>
      </c>
      <c r="G13" s="27" t="n">
        <f aca="false">SUMIFS('Sales Data'!$E$2:$E$995,'Sales Data'!$C$2:$C$995,B13)</f>
        <v>575</v>
      </c>
      <c r="H13" s="31" t="n">
        <f aca="false">SUMIFS('Sales Data'!$F$2:$F$995,'Sales Data'!$C$2:$C$995,B13)</f>
        <v>228850000</v>
      </c>
    </row>
    <row r="14" customFormat="false" ht="15" hidden="false" customHeight="false" outlineLevel="0" collapsed="false">
      <c r="A14" s="28" t="n">
        <v>36</v>
      </c>
      <c r="B14" s="28" t="s">
        <v>105</v>
      </c>
      <c r="C14" s="28" t="s">
        <v>80</v>
      </c>
      <c r="D14" s="31" t="n">
        <v>349000</v>
      </c>
      <c r="E14" s="28" t="n">
        <v>2022</v>
      </c>
      <c r="F14" s="28" t="n">
        <v>2023</v>
      </c>
      <c r="G14" s="27" t="n">
        <f aca="false">SUMIFS('Sales Data'!$E$2:$E$995,'Sales Data'!$C$2:$C$995,B14)</f>
        <v>384</v>
      </c>
      <c r="H14" s="31" t="n">
        <f aca="false">SUMIFS('Sales Data'!$F$2:$F$995,'Sales Data'!$C$2:$C$995,B14)</f>
        <v>134016000</v>
      </c>
    </row>
    <row r="15" customFormat="false" ht="15" hidden="false" customHeight="false" outlineLevel="0" collapsed="false">
      <c r="A15" s="28" t="n">
        <v>46</v>
      </c>
      <c r="B15" s="28" t="s">
        <v>61</v>
      </c>
      <c r="C15" s="28" t="s">
        <v>85</v>
      </c>
      <c r="D15" s="31" t="n">
        <v>299000</v>
      </c>
      <c r="E15" s="28" t="n">
        <v>2020</v>
      </c>
      <c r="F15" s="28" t="n">
        <v>2021</v>
      </c>
      <c r="G15" s="27" t="n">
        <f aca="false">SUMIFS('Sales Data'!$E$2:$E$995,'Sales Data'!$C$2:$C$995,B15)</f>
        <v>496</v>
      </c>
      <c r="H15" s="31" t="n">
        <f aca="false">SUMIFS('Sales Data'!$F$2:$F$995,'Sales Data'!$C$2:$C$995,B15)</f>
        <v>148304000</v>
      </c>
    </row>
    <row r="16" customFormat="false" ht="15" hidden="false" customHeight="false" outlineLevel="0" collapsed="false">
      <c r="A16" s="28" t="n">
        <v>29</v>
      </c>
      <c r="B16" s="28" t="s">
        <v>106</v>
      </c>
      <c r="C16" s="28" t="s">
        <v>85</v>
      </c>
      <c r="D16" s="31" t="n">
        <v>284900</v>
      </c>
      <c r="E16" s="28" t="n">
        <v>2023</v>
      </c>
      <c r="F16" s="28" t="n">
        <v>2024</v>
      </c>
      <c r="G16" s="27" t="n">
        <f aca="false">SUMIFS('Sales Data'!$E$2:$E$995,'Sales Data'!$C$2:$C$995,B16)</f>
        <v>292</v>
      </c>
      <c r="H16" s="31" t="n">
        <f aca="false">SUMIFS('Sales Data'!$F$2:$F$995,'Sales Data'!$C$2:$C$995,B16)</f>
        <v>83190800</v>
      </c>
    </row>
    <row r="17" customFormat="false" ht="15" hidden="false" customHeight="false" outlineLevel="0" collapsed="false">
      <c r="A17" s="28" t="n">
        <v>40</v>
      </c>
      <c r="B17" s="28" t="s">
        <v>107</v>
      </c>
      <c r="C17" s="28" t="s">
        <v>85</v>
      </c>
      <c r="D17" s="31" t="n">
        <v>199000</v>
      </c>
      <c r="E17" s="28" t="n">
        <v>2022</v>
      </c>
      <c r="F17" s="28" t="n">
        <v>2023</v>
      </c>
      <c r="G17" s="27" t="n">
        <f aca="false">SUMIFS('Sales Data'!$E$2:$E$995,'Sales Data'!$C$2:$C$995,B17)</f>
        <v>377</v>
      </c>
      <c r="H17" s="31" t="n">
        <f aca="false">SUMIFS('Sales Data'!$F$2:$F$995,'Sales Data'!$C$2:$C$995,B17)</f>
        <v>75023000</v>
      </c>
    </row>
    <row r="18" customFormat="false" ht="15" hidden="false" customHeight="false" outlineLevel="0" collapsed="false">
      <c r="A18" s="28" t="n">
        <v>41</v>
      </c>
      <c r="B18" s="28" t="s">
        <v>58</v>
      </c>
      <c r="C18" s="28" t="s">
        <v>83</v>
      </c>
      <c r="D18" s="31" t="n">
        <v>995000</v>
      </c>
      <c r="E18" s="28" t="n">
        <v>2023</v>
      </c>
      <c r="F18" s="28" t="n">
        <v>2024</v>
      </c>
      <c r="G18" s="27" t="n">
        <f aca="false">SUMIFS('Sales Data'!$E$2:$E$995,'Sales Data'!$C$2:$C$995,B18)</f>
        <v>227</v>
      </c>
      <c r="H18" s="31" t="n">
        <f aca="false">SUMIFS('Sales Data'!$F$2:$F$995,'Sales Data'!$C$2:$C$995,B18)</f>
        <v>225865000</v>
      </c>
    </row>
    <row r="19" customFormat="false" ht="15" hidden="false" customHeight="false" outlineLevel="0" collapsed="false">
      <c r="A19" s="28" t="n">
        <v>49</v>
      </c>
      <c r="B19" s="28" t="s">
        <v>51</v>
      </c>
      <c r="C19" s="28" t="s">
        <v>83</v>
      </c>
      <c r="D19" s="31" t="n">
        <v>689000</v>
      </c>
      <c r="E19" s="28" t="n">
        <v>2022</v>
      </c>
      <c r="F19" s="28" t="n">
        <v>2023</v>
      </c>
      <c r="G19" s="27" t="n">
        <f aca="false">SUMIFS('Sales Data'!$E$2:$E$995,'Sales Data'!$C$2:$C$995,B19)</f>
        <v>475</v>
      </c>
      <c r="H19" s="31" t="n">
        <f aca="false">SUMIFS('Sales Data'!$F$2:$F$995,'Sales Data'!$C$2:$C$995,B19)</f>
        <v>327275000</v>
      </c>
    </row>
    <row r="20" customFormat="false" ht="15" hidden="false" customHeight="false" outlineLevel="0" collapsed="false">
      <c r="A20" s="28" t="n">
        <v>43</v>
      </c>
      <c r="B20" s="28" t="s">
        <v>60</v>
      </c>
      <c r="C20" s="28" t="s">
        <v>79</v>
      </c>
      <c r="D20" s="31" t="n">
        <v>599000</v>
      </c>
      <c r="E20" s="28" t="n">
        <v>2023</v>
      </c>
      <c r="F20" s="28" t="n">
        <v>2024</v>
      </c>
      <c r="G20" s="27" t="n">
        <f aca="false">SUMIFS('Sales Data'!$E$2:$E$995,'Sales Data'!$C$2:$C$995,B20)</f>
        <v>363</v>
      </c>
      <c r="H20" s="31" t="n">
        <f aca="false">SUMIFS('Sales Data'!$F$2:$F$995,'Sales Data'!$C$2:$C$995,B20)</f>
        <v>217437000</v>
      </c>
    </row>
    <row r="21" customFormat="false" ht="15" hidden="false" customHeight="false" outlineLevel="0" collapsed="false">
      <c r="A21" s="28" t="n">
        <v>20</v>
      </c>
      <c r="B21" s="28" t="s">
        <v>108</v>
      </c>
      <c r="C21" s="28" t="s">
        <v>79</v>
      </c>
      <c r="D21" s="31" t="n">
        <v>331000</v>
      </c>
      <c r="E21" s="28" t="n">
        <v>2023</v>
      </c>
      <c r="F21" s="28" t="n">
        <v>2024</v>
      </c>
      <c r="G21" s="27" t="n">
        <f aca="false">SUMIFS('Sales Data'!$E$2:$E$995,'Sales Data'!$C$2:$C$995,B21)</f>
        <v>391</v>
      </c>
      <c r="H21" s="31" t="n">
        <f aca="false">SUMIFS('Sales Data'!$F$2:$F$995,'Sales Data'!$C$2:$C$995,B21)</f>
        <v>129421000</v>
      </c>
    </row>
    <row r="22" customFormat="false" ht="15" hidden="false" customHeight="false" outlineLevel="0" collapsed="false">
      <c r="A22" s="28" t="n">
        <v>2</v>
      </c>
      <c r="B22" s="28" t="s">
        <v>109</v>
      </c>
      <c r="C22" s="28" t="s">
        <v>79</v>
      </c>
      <c r="D22" s="31" t="n">
        <v>178000</v>
      </c>
      <c r="E22" s="28" t="n">
        <v>2022</v>
      </c>
      <c r="F22" s="28" t="n">
        <v>2023</v>
      </c>
      <c r="G22" s="27" t="n">
        <f aca="false">SUMIFS('Sales Data'!$E$2:$E$995,'Sales Data'!$C$2:$C$995,B22)</f>
        <v>315</v>
      </c>
      <c r="H22" s="31" t="n">
        <f aca="false">SUMIFS('Sales Data'!$F$2:$F$995,'Sales Data'!$C$2:$C$995,B22)</f>
        <v>56070000</v>
      </c>
    </row>
    <row r="23" customFormat="false" ht="15" hidden="false" customHeight="false" outlineLevel="0" collapsed="false">
      <c r="A23" s="28" t="n">
        <v>8</v>
      </c>
      <c r="B23" s="28" t="s">
        <v>110</v>
      </c>
      <c r="C23" s="28" t="s">
        <v>79</v>
      </c>
      <c r="D23" s="31" t="n">
        <v>178000</v>
      </c>
      <c r="E23" s="28" t="n">
        <v>2023</v>
      </c>
      <c r="F23" s="28" t="n">
        <v>2024</v>
      </c>
      <c r="G23" s="27" t="n">
        <f aca="false">SUMIFS('Sales Data'!$E$2:$E$995,'Sales Data'!$C$2:$C$995,B23)</f>
        <v>137</v>
      </c>
      <c r="H23" s="31" t="n">
        <f aca="false">SUMIFS('Sales Data'!$F$2:$F$995,'Sales Data'!$C$2:$C$995,B23)</f>
        <v>24386000</v>
      </c>
    </row>
    <row r="24" customFormat="false" ht="15" hidden="false" customHeight="false" outlineLevel="0" collapsed="false">
      <c r="A24" s="28" t="n">
        <v>6</v>
      </c>
      <c r="B24" s="28" t="s">
        <v>71</v>
      </c>
      <c r="C24" s="28" t="s">
        <v>79</v>
      </c>
      <c r="D24" s="31" t="n">
        <v>165000</v>
      </c>
      <c r="E24" s="28" t="n">
        <v>2021</v>
      </c>
      <c r="F24" s="28" t="n">
        <v>2022</v>
      </c>
      <c r="G24" s="27" t="n">
        <f aca="false">SUMIFS('Sales Data'!$E$2:$E$995,'Sales Data'!$C$2:$C$995,B24)</f>
        <v>428</v>
      </c>
      <c r="H24" s="31" t="n">
        <f aca="false">SUMIFS('Sales Data'!$F$2:$F$995,'Sales Data'!$C$2:$C$995,B24)</f>
        <v>70620000</v>
      </c>
    </row>
    <row r="25" customFormat="false" ht="15" hidden="false" customHeight="false" outlineLevel="0" collapsed="false">
      <c r="A25" s="28" t="n">
        <v>16</v>
      </c>
      <c r="B25" s="28" t="s">
        <v>111</v>
      </c>
      <c r="C25" s="28" t="s">
        <v>79</v>
      </c>
      <c r="D25" s="31" t="n">
        <v>129000</v>
      </c>
      <c r="E25" s="28" t="n">
        <v>2022</v>
      </c>
      <c r="F25" s="28" t="n">
        <v>2023</v>
      </c>
      <c r="G25" s="27" t="n">
        <f aca="false">SUMIFS('Sales Data'!$E$2:$E$995,'Sales Data'!$C$2:$C$995,B25)</f>
        <v>219</v>
      </c>
      <c r="H25" s="31" t="n">
        <f aca="false">SUMIFS('Sales Data'!$F$2:$F$995,'Sales Data'!$C$2:$C$995,B25)</f>
        <v>28251000</v>
      </c>
    </row>
    <row r="26" customFormat="false" ht="15" hidden="false" customHeight="false" outlineLevel="0" collapsed="false">
      <c r="A26" s="28" t="n">
        <v>19</v>
      </c>
      <c r="B26" s="28" t="s">
        <v>112</v>
      </c>
      <c r="C26" s="28" t="s">
        <v>79</v>
      </c>
      <c r="D26" s="31" t="n">
        <v>125000</v>
      </c>
      <c r="E26" s="28" t="n">
        <v>2021</v>
      </c>
      <c r="F26" s="28" t="n">
        <v>2022</v>
      </c>
      <c r="G26" s="27" t="n">
        <f aca="false">SUMIFS('Sales Data'!$E$2:$E$995,'Sales Data'!$C$2:$C$995,B26)</f>
        <v>297</v>
      </c>
      <c r="H26" s="31" t="n">
        <f aca="false">SUMIFS('Sales Data'!$F$2:$F$995,'Sales Data'!$C$2:$C$995,B26)</f>
        <v>37125000</v>
      </c>
    </row>
    <row r="27" customFormat="false" ht="15" hidden="false" customHeight="false" outlineLevel="0" collapsed="false">
      <c r="A27" s="28" t="n">
        <v>9</v>
      </c>
      <c r="B27" s="28" t="s">
        <v>113</v>
      </c>
      <c r="C27" s="28" t="s">
        <v>90</v>
      </c>
      <c r="D27" s="31" t="n">
        <v>182000</v>
      </c>
      <c r="E27" s="28" t="n">
        <v>2022</v>
      </c>
      <c r="F27" s="28" t="n">
        <v>2023</v>
      </c>
      <c r="G27" s="27" t="n">
        <f aca="false">SUMIFS('Sales Data'!$E$2:$E$995,'Sales Data'!$C$2:$C$995,B27)</f>
        <v>362</v>
      </c>
      <c r="H27" s="31" t="n">
        <f aca="false">SUMIFS('Sales Data'!$F$2:$F$995,'Sales Data'!$C$2:$C$995,B27)</f>
        <v>65884000</v>
      </c>
    </row>
    <row r="28" customFormat="false" ht="15" hidden="false" customHeight="false" outlineLevel="0" collapsed="false">
      <c r="A28" s="28" t="n">
        <v>39</v>
      </c>
      <c r="B28" s="28" t="s">
        <v>66</v>
      </c>
      <c r="C28" s="28" t="s">
        <v>78</v>
      </c>
      <c r="D28" s="31" t="n">
        <v>398000</v>
      </c>
      <c r="E28" s="28" t="n">
        <v>2023</v>
      </c>
      <c r="F28" s="28" t="n">
        <v>2024</v>
      </c>
      <c r="G28" s="27" t="n">
        <f aca="false">SUMIFS('Sales Data'!$E$2:$E$995,'Sales Data'!$C$2:$C$995,B28)</f>
        <v>363</v>
      </c>
      <c r="H28" s="31" t="n">
        <f aca="false">SUMIFS('Sales Data'!$F$2:$F$995,'Sales Data'!$C$2:$C$995,B28)</f>
        <v>144474000</v>
      </c>
    </row>
    <row r="29" customFormat="false" ht="15" hidden="false" customHeight="false" outlineLevel="0" collapsed="false">
      <c r="A29" s="28" t="n">
        <v>35</v>
      </c>
      <c r="B29" s="28" t="s">
        <v>114</v>
      </c>
      <c r="C29" s="28" t="s">
        <v>78</v>
      </c>
      <c r="D29" s="31" t="n">
        <v>319000</v>
      </c>
      <c r="E29" s="28" t="n">
        <v>2022</v>
      </c>
      <c r="F29" s="28" t="n">
        <v>2023</v>
      </c>
      <c r="G29" s="27" t="n">
        <f aca="false">SUMIFS('Sales Data'!$E$2:$E$995,'Sales Data'!$C$2:$C$995,B29)</f>
        <v>225</v>
      </c>
      <c r="H29" s="31" t="n">
        <f aca="false">SUMIFS('Sales Data'!$F$2:$F$995,'Sales Data'!$C$2:$C$995,B29)</f>
        <v>71775000</v>
      </c>
    </row>
    <row r="30" customFormat="false" ht="15" hidden="false" customHeight="false" outlineLevel="0" collapsed="false">
      <c r="A30" s="28" t="n">
        <v>45</v>
      </c>
      <c r="B30" s="28" t="s">
        <v>115</v>
      </c>
      <c r="C30" s="28" t="s">
        <v>78</v>
      </c>
      <c r="D30" s="31" t="n">
        <v>289000</v>
      </c>
      <c r="E30" s="28" t="n">
        <v>2023</v>
      </c>
      <c r="F30" s="28" t="n">
        <v>2024</v>
      </c>
      <c r="G30" s="27" t="n">
        <f aca="false">SUMIFS('Sales Data'!$E$2:$E$995,'Sales Data'!$C$2:$C$995,B30)</f>
        <v>391</v>
      </c>
      <c r="H30" s="31" t="n">
        <f aca="false">SUMIFS('Sales Data'!$F$2:$F$995,'Sales Data'!$C$2:$C$995,B30)</f>
        <v>112999000</v>
      </c>
    </row>
    <row r="31" customFormat="false" ht="15" hidden="false" customHeight="false" outlineLevel="0" collapsed="false">
      <c r="A31" s="28" t="n">
        <v>34</v>
      </c>
      <c r="B31" s="28" t="s">
        <v>116</v>
      </c>
      <c r="C31" s="28" t="s">
        <v>78</v>
      </c>
      <c r="D31" s="31" t="n">
        <v>219000</v>
      </c>
      <c r="E31" s="28" t="n">
        <v>2023</v>
      </c>
      <c r="F31" s="28" t="n">
        <v>2024</v>
      </c>
      <c r="G31" s="27" t="n">
        <f aca="false">SUMIFS('Sales Data'!$E$2:$E$995,'Sales Data'!$C$2:$C$995,B31)</f>
        <v>307</v>
      </c>
      <c r="H31" s="31" t="n">
        <f aca="false">SUMIFS('Sales Data'!$F$2:$F$995,'Sales Data'!$C$2:$C$995,B31)</f>
        <v>67233000</v>
      </c>
    </row>
    <row r="32" customFormat="false" ht="15" hidden="false" customHeight="false" outlineLevel="0" collapsed="false">
      <c r="A32" s="28" t="n">
        <v>18</v>
      </c>
      <c r="B32" s="28" t="s">
        <v>117</v>
      </c>
      <c r="C32" s="28" t="s">
        <v>78</v>
      </c>
      <c r="D32" s="31" t="n">
        <v>210000</v>
      </c>
      <c r="E32" s="28" t="n">
        <v>2022</v>
      </c>
      <c r="F32" s="28" t="n">
        <v>2023</v>
      </c>
      <c r="G32" s="27" t="n">
        <f aca="false">SUMIFS('Sales Data'!$E$2:$E$995,'Sales Data'!$C$2:$C$995,B32)</f>
        <v>315</v>
      </c>
      <c r="H32" s="31" t="n">
        <f aca="false">SUMIFS('Sales Data'!$F$2:$F$995,'Sales Data'!$C$2:$C$995,B32)</f>
        <v>66150000</v>
      </c>
    </row>
    <row r="33" customFormat="false" ht="15" hidden="false" customHeight="false" outlineLevel="0" collapsed="false">
      <c r="A33" s="28" t="n">
        <v>12</v>
      </c>
      <c r="B33" s="28" t="s">
        <v>69</v>
      </c>
      <c r="C33" s="28" t="s">
        <v>78</v>
      </c>
      <c r="D33" s="31" t="n">
        <v>164900</v>
      </c>
      <c r="E33" s="28" t="n">
        <v>2023</v>
      </c>
      <c r="F33" s="28" t="n">
        <v>2024</v>
      </c>
      <c r="G33" s="27" t="n">
        <f aca="false">SUMIFS('Sales Data'!$E$2:$E$995,'Sales Data'!$C$2:$C$995,B33)</f>
        <v>457</v>
      </c>
      <c r="H33" s="31" t="n">
        <f aca="false">SUMIFS('Sales Data'!$F$2:$F$995,'Sales Data'!$C$2:$C$995,B33)</f>
        <v>75359300</v>
      </c>
    </row>
    <row r="34" customFormat="false" ht="15" hidden="false" customHeight="false" outlineLevel="0" collapsed="false">
      <c r="A34" s="28" t="n">
        <v>11</v>
      </c>
      <c r="B34" s="28" t="s">
        <v>118</v>
      </c>
      <c r="C34" s="28" t="s">
        <v>78</v>
      </c>
      <c r="D34" s="31" t="n">
        <v>151900</v>
      </c>
      <c r="E34" s="28" t="n">
        <v>2022</v>
      </c>
      <c r="F34" s="28" t="n">
        <v>2023</v>
      </c>
      <c r="G34" s="27" t="n">
        <f aca="false">SUMIFS('Sales Data'!$E$2:$E$995,'Sales Data'!$C$2:$C$995,B34)</f>
        <v>270</v>
      </c>
      <c r="H34" s="31" t="n">
        <f aca="false">SUMIFS('Sales Data'!$F$2:$F$995,'Sales Data'!$C$2:$C$995,B34)</f>
        <v>41013000</v>
      </c>
    </row>
    <row r="35" customFormat="false" ht="15" hidden="false" customHeight="false" outlineLevel="0" collapsed="false">
      <c r="A35" s="28" t="n">
        <v>31</v>
      </c>
      <c r="B35" s="28" t="s">
        <v>119</v>
      </c>
      <c r="C35" s="28" t="s">
        <v>78</v>
      </c>
      <c r="D35" s="31" t="n">
        <v>128000</v>
      </c>
      <c r="E35" s="28" t="n">
        <v>2022</v>
      </c>
      <c r="F35" s="28" t="n">
        <v>2023</v>
      </c>
      <c r="G35" s="27" t="n">
        <f aca="false">SUMIFS('Sales Data'!$E$2:$E$995,'Sales Data'!$C$2:$C$995,B35)</f>
        <v>261</v>
      </c>
      <c r="H35" s="31" t="n">
        <f aca="false">SUMIFS('Sales Data'!$F$2:$F$995,'Sales Data'!$C$2:$C$995,B35)</f>
        <v>33408000</v>
      </c>
    </row>
    <row r="36" customFormat="false" ht="15" hidden="false" customHeight="false" outlineLevel="0" collapsed="false">
      <c r="A36" s="28" t="n">
        <v>21</v>
      </c>
      <c r="B36" s="28" t="s">
        <v>120</v>
      </c>
      <c r="C36" s="28" t="s">
        <v>78</v>
      </c>
      <c r="D36" s="31" t="n">
        <v>124000</v>
      </c>
      <c r="E36" s="28" t="n">
        <v>2022</v>
      </c>
      <c r="F36" s="28" t="n">
        <v>2023</v>
      </c>
      <c r="G36" s="27" t="n">
        <f aca="false">SUMIFS('Sales Data'!$E$2:$E$995,'Sales Data'!$C$2:$C$995,B36)</f>
        <v>383</v>
      </c>
      <c r="H36" s="31" t="n">
        <f aca="false">SUMIFS('Sales Data'!$F$2:$F$995,'Sales Data'!$C$2:$C$995,B36)</f>
        <v>47492000</v>
      </c>
    </row>
    <row r="37" customFormat="false" ht="15" hidden="false" customHeight="false" outlineLevel="0" collapsed="false">
      <c r="A37" s="28" t="n">
        <v>47</v>
      </c>
      <c r="B37" s="28" t="s">
        <v>121</v>
      </c>
      <c r="C37" s="28" t="s">
        <v>78</v>
      </c>
      <c r="D37" s="31" t="n">
        <v>80900</v>
      </c>
      <c r="E37" s="28" t="n">
        <v>2023</v>
      </c>
      <c r="F37" s="28" t="n">
        <v>2024</v>
      </c>
      <c r="G37" s="27" t="n">
        <f aca="false">SUMIFS('Sales Data'!$E$2:$E$995,'Sales Data'!$C$2:$C$995,B37)</f>
        <v>369</v>
      </c>
      <c r="H37" s="31" t="n">
        <f aca="false">SUMIFS('Sales Data'!$F$2:$F$995,'Sales Data'!$C$2:$C$995,B37)</f>
        <v>29852100</v>
      </c>
    </row>
    <row r="38" customFormat="false" ht="15" hidden="false" customHeight="false" outlineLevel="0" collapsed="false">
      <c r="A38" s="28" t="n">
        <v>26</v>
      </c>
      <c r="B38" s="28" t="s">
        <v>122</v>
      </c>
      <c r="C38" s="28" t="s">
        <v>78</v>
      </c>
      <c r="D38" s="31" t="n">
        <v>80900</v>
      </c>
      <c r="E38" s="28" t="n">
        <v>2022</v>
      </c>
      <c r="F38" s="28" t="n">
        <v>2023</v>
      </c>
      <c r="G38" s="27" t="n">
        <f aca="false">SUMIFS('Sales Data'!$E$2:$E$995,'Sales Data'!$C$2:$C$995,B38)</f>
        <v>293</v>
      </c>
      <c r="H38" s="31" t="n">
        <f aca="false">SUMIFS('Sales Data'!$F$2:$F$995,'Sales Data'!$C$2:$C$995,B38)</f>
        <v>23703700</v>
      </c>
    </row>
    <row r="39" customFormat="false" ht="15" hidden="false" customHeight="false" outlineLevel="0" collapsed="false">
      <c r="A39" s="28" t="n">
        <v>13</v>
      </c>
      <c r="B39" s="28" t="s">
        <v>123</v>
      </c>
      <c r="C39" s="28" t="s">
        <v>78</v>
      </c>
      <c r="D39" s="31" t="n">
        <v>79900</v>
      </c>
      <c r="E39" s="28" t="n">
        <v>2023</v>
      </c>
      <c r="F39" s="28" t="n">
        <v>2024</v>
      </c>
      <c r="G39" s="27" t="n">
        <f aca="false">SUMIFS('Sales Data'!$E$2:$E$995,'Sales Data'!$C$2:$C$995,B39)</f>
        <v>422</v>
      </c>
      <c r="H39" s="31" t="n">
        <f aca="false">SUMIFS('Sales Data'!$F$2:$F$995,'Sales Data'!$C$2:$C$995,B39)</f>
        <v>33717800</v>
      </c>
    </row>
    <row r="40" customFormat="false" ht="15" hidden="false" customHeight="false" outlineLevel="0" collapsed="false">
      <c r="A40" s="28" t="n">
        <v>17</v>
      </c>
      <c r="B40" s="28" t="s">
        <v>124</v>
      </c>
      <c r="C40" s="28" t="s">
        <v>91</v>
      </c>
      <c r="D40" s="31" t="n">
        <v>295000</v>
      </c>
      <c r="E40" s="28" t="n">
        <v>2023</v>
      </c>
      <c r="F40" s="28" t="n">
        <v>2024</v>
      </c>
      <c r="G40" s="27" t="n">
        <f aca="false">SUMIFS('Sales Data'!$E$2:$E$995,'Sales Data'!$C$2:$C$995,B40)</f>
        <v>304</v>
      </c>
      <c r="H40" s="31" t="n">
        <f aca="false">SUMIFS('Sales Data'!$F$2:$F$995,'Sales Data'!$C$2:$C$995,B40)</f>
        <v>89680000</v>
      </c>
    </row>
    <row r="41" customFormat="false" ht="15" hidden="false" customHeight="false" outlineLevel="0" collapsed="false">
      <c r="A41" s="28" t="n">
        <v>1</v>
      </c>
      <c r="B41" s="28" t="s">
        <v>68</v>
      </c>
      <c r="C41" s="28" t="s">
        <v>81</v>
      </c>
      <c r="D41" s="31" t="n">
        <v>389000</v>
      </c>
      <c r="E41" s="28" t="n">
        <v>2021</v>
      </c>
      <c r="F41" s="28" t="n">
        <v>2023</v>
      </c>
      <c r="G41" s="27" t="n">
        <f aca="false">SUMIFS('Sales Data'!$E$2:$E$995,'Sales Data'!$C$2:$C$995,B41)</f>
        <v>369</v>
      </c>
      <c r="H41" s="31" t="n">
        <f aca="false">SUMIFS('Sales Data'!$F$2:$F$995,'Sales Data'!$C$2:$C$995,B41)</f>
        <v>143541000</v>
      </c>
    </row>
    <row r="42" customFormat="false" ht="15" hidden="false" customHeight="false" outlineLevel="0" collapsed="false">
      <c r="A42" s="28" t="n">
        <v>3</v>
      </c>
      <c r="B42" s="28" t="s">
        <v>125</v>
      </c>
      <c r="C42" s="28" t="s">
        <v>81</v>
      </c>
      <c r="D42" s="31" t="n">
        <v>340000</v>
      </c>
      <c r="E42" s="28" t="n">
        <v>2023</v>
      </c>
      <c r="F42" s="28" t="n">
        <v>2024</v>
      </c>
      <c r="G42" s="27" t="n">
        <f aca="false">SUMIFS('Sales Data'!$E$2:$E$995,'Sales Data'!$C$2:$C$995,B42)</f>
        <v>255</v>
      </c>
      <c r="H42" s="31" t="n">
        <f aca="false">SUMIFS('Sales Data'!$F$2:$F$995,'Sales Data'!$C$2:$C$995,B42)</f>
        <v>86700000</v>
      </c>
    </row>
    <row r="43" customFormat="false" ht="15" hidden="false" customHeight="false" outlineLevel="0" collapsed="false">
      <c r="A43" s="28" t="n">
        <v>14</v>
      </c>
      <c r="B43" s="28" t="s">
        <v>126</v>
      </c>
      <c r="C43" s="28" t="s">
        <v>81</v>
      </c>
      <c r="D43" s="31" t="n">
        <v>198000</v>
      </c>
      <c r="E43" s="28" t="n">
        <v>2021</v>
      </c>
      <c r="F43" s="28" t="n">
        <v>2022</v>
      </c>
      <c r="G43" s="27" t="n">
        <f aca="false">SUMIFS('Sales Data'!$E$2:$E$995,'Sales Data'!$C$2:$C$995,B43)</f>
        <v>305</v>
      </c>
      <c r="H43" s="31" t="n">
        <f aca="false">SUMIFS('Sales Data'!$F$2:$F$995,'Sales Data'!$C$2:$C$995,B43)</f>
        <v>60390000</v>
      </c>
    </row>
    <row r="44" customFormat="false" ht="15" hidden="false" customHeight="false" outlineLevel="0" collapsed="false">
      <c r="A44" s="28" t="n">
        <v>44</v>
      </c>
      <c r="B44" s="28" t="s">
        <v>59</v>
      </c>
      <c r="C44" s="28" t="s">
        <v>81</v>
      </c>
      <c r="D44" s="31" t="n">
        <v>165000</v>
      </c>
      <c r="E44" s="28" t="n">
        <v>2023</v>
      </c>
      <c r="F44" s="28" t="n">
        <v>2024</v>
      </c>
      <c r="G44" s="27" t="n">
        <f aca="false">SUMIFS('Sales Data'!$E$2:$E$995,'Sales Data'!$C$2:$C$995,B44)</f>
        <v>496</v>
      </c>
      <c r="H44" s="31" t="n">
        <f aca="false">SUMIFS('Sales Data'!$F$2:$F$995,'Sales Data'!$C$2:$C$995,B44)</f>
        <v>81840000</v>
      </c>
    </row>
    <row r="45" customFormat="false" ht="15" hidden="false" customHeight="false" outlineLevel="0" collapsed="false">
      <c r="A45" s="28" t="n">
        <v>10</v>
      </c>
      <c r="B45" s="28" t="s">
        <v>127</v>
      </c>
      <c r="C45" s="28" t="s">
        <v>92</v>
      </c>
      <c r="D45" s="31" t="n">
        <v>199900</v>
      </c>
      <c r="E45" s="28" t="n">
        <v>2021</v>
      </c>
      <c r="F45" s="28" t="n">
        <v>2022</v>
      </c>
      <c r="G45" s="27" t="n">
        <f aca="false">SUMIFS('Sales Data'!$E$2:$E$995,'Sales Data'!$C$2:$C$995,B45)</f>
        <v>418</v>
      </c>
      <c r="H45" s="31" t="n">
        <f aca="false">SUMIFS('Sales Data'!$F$2:$F$995,'Sales Data'!$C$2:$C$995,B45)</f>
        <v>83558200</v>
      </c>
    </row>
    <row r="46" customFormat="false" ht="15" hidden="false" customHeight="false" outlineLevel="0" collapsed="false">
      <c r="A46" s="28" t="n">
        <v>23</v>
      </c>
      <c r="B46" s="28" t="s">
        <v>128</v>
      </c>
      <c r="C46" s="28" t="s">
        <v>93</v>
      </c>
      <c r="D46" s="31" t="n">
        <v>68900</v>
      </c>
      <c r="E46" s="28" t="n">
        <v>2021</v>
      </c>
      <c r="F46" s="28" t="n">
        <v>2022</v>
      </c>
      <c r="G46" s="27" t="n">
        <f aca="false">SUMIFS('Sales Data'!$E$2:$E$995,'Sales Data'!$C$2:$C$995,B46)</f>
        <v>395</v>
      </c>
      <c r="H46" s="31" t="n">
        <f aca="false">SUMIFS('Sales Data'!$F$2:$F$995,'Sales Data'!$C$2:$C$995,B46)</f>
        <v>27215500</v>
      </c>
    </row>
    <row r="47" customFormat="false" ht="15" hidden="false" customHeight="false" outlineLevel="0" collapsed="false">
      <c r="A47" s="28" t="n">
        <v>38</v>
      </c>
      <c r="B47" s="28" t="s">
        <v>63</v>
      </c>
      <c r="C47" s="28" t="s">
        <v>94</v>
      </c>
      <c r="D47" s="31" t="n">
        <v>99900</v>
      </c>
      <c r="E47" s="28" t="n">
        <v>2021</v>
      </c>
      <c r="F47" s="28" t="n">
        <v>2022</v>
      </c>
      <c r="G47" s="27" t="n">
        <f aca="false">SUMIFS('Sales Data'!$E$2:$E$995,'Sales Data'!$C$2:$C$995,B47)</f>
        <v>482</v>
      </c>
      <c r="H47" s="31" t="n">
        <f aca="false">SUMIFS('Sales Data'!$F$2:$F$995,'Sales Data'!$C$2:$C$995,B47)</f>
        <v>48151800</v>
      </c>
    </row>
    <row r="48" customFormat="false" ht="15" hidden="false" customHeight="false" outlineLevel="0" collapsed="false">
      <c r="A48" s="28" t="n">
        <v>25</v>
      </c>
      <c r="B48" s="28" t="s">
        <v>65</v>
      </c>
      <c r="C48" s="28" t="s">
        <v>88</v>
      </c>
      <c r="D48" s="31" t="n">
        <v>345000</v>
      </c>
      <c r="E48" s="28" t="n">
        <v>2023</v>
      </c>
      <c r="F48" s="28" t="n">
        <v>2024</v>
      </c>
      <c r="G48" s="27" t="n">
        <f aca="false">SUMIFS('Sales Data'!$E$2:$E$995,'Sales Data'!$C$2:$C$995,B48)</f>
        <v>427</v>
      </c>
      <c r="H48" s="31" t="n">
        <f aca="false">SUMIFS('Sales Data'!$F$2:$F$995,'Sales Data'!$C$2:$C$995,B48)</f>
        <v>147315000</v>
      </c>
    </row>
    <row r="49" customFormat="false" ht="15" hidden="false" customHeight="false" outlineLevel="0" collapsed="false">
      <c r="A49" s="28" t="n">
        <v>27</v>
      </c>
      <c r="B49" s="28" t="s">
        <v>129</v>
      </c>
      <c r="C49" s="28" t="s">
        <v>84</v>
      </c>
      <c r="D49" s="31" t="n">
        <v>125900</v>
      </c>
      <c r="E49" s="28" t="n">
        <v>2023</v>
      </c>
      <c r="F49" s="28" t="n">
        <v>2024</v>
      </c>
      <c r="G49" s="27" t="n">
        <f aca="false">SUMIFS('Sales Data'!$E$2:$E$995,'Sales Data'!$C$2:$C$995,B49)</f>
        <v>302</v>
      </c>
      <c r="H49" s="31" t="n">
        <f aca="false">SUMIFS('Sales Data'!$F$2:$F$995,'Sales Data'!$C$2:$C$995,B49)</f>
        <v>38021800</v>
      </c>
    </row>
    <row r="50" customFormat="false" ht="15" hidden="false" customHeight="false" outlineLevel="0" collapsed="false">
      <c r="A50" s="28" t="n">
        <v>4</v>
      </c>
      <c r="B50" s="28" t="s">
        <v>130</v>
      </c>
      <c r="C50" s="28" t="s">
        <v>84</v>
      </c>
      <c r="D50" s="31" t="n">
        <v>119900</v>
      </c>
      <c r="E50" s="28" t="n">
        <v>2020</v>
      </c>
      <c r="F50" s="28" t="n">
        <v>2021</v>
      </c>
      <c r="G50" s="27" t="n">
        <f aca="false">SUMIFS('Sales Data'!$E$2:$E$995,'Sales Data'!$C$2:$C$995,B50)</f>
        <v>320</v>
      </c>
      <c r="H50" s="31" t="n">
        <f aca="false">SUMIFS('Sales Data'!$F$2:$F$995,'Sales Data'!$C$2:$C$995,B50)</f>
        <v>38368000</v>
      </c>
    </row>
    <row r="51" customFormat="false" ht="15" hidden="false" customHeight="false" outlineLevel="0" collapsed="false">
      <c r="A51" s="28" t="n">
        <v>50</v>
      </c>
      <c r="B51" s="28" t="s">
        <v>131</v>
      </c>
      <c r="C51" s="28" t="s">
        <v>84</v>
      </c>
      <c r="D51" s="31" t="n">
        <v>72900</v>
      </c>
      <c r="E51" s="28" t="n">
        <v>2022</v>
      </c>
      <c r="F51" s="28" t="n">
        <v>2023</v>
      </c>
      <c r="G51" s="27" t="n">
        <f aca="false">SUMIFS('Sales Data'!$E$2:$E$995,'Sales Data'!$C$2:$C$995,B51)</f>
        <v>190</v>
      </c>
      <c r="H51" s="31" t="n">
        <f aca="false">SUMIFS('Sales Data'!$F$2:$F$995,'Sales Data'!$C$2:$C$995,B51)</f>
        <v>13851000</v>
      </c>
    </row>
  </sheetData>
  <autoFilter ref="A1:H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8"/>
    <col collapsed="false" customWidth="true" hidden="false" outlineLevel="0" max="4" min="4" style="0" width="14"/>
    <col collapsed="false" customWidth="true" hidden="false" outlineLevel="0" max="5" min="5" style="0" width="10"/>
    <col collapsed="false" customWidth="true" hidden="false" outlineLevel="0" max="6" min="6" style="0" width="16"/>
    <col collapsed="false" customWidth="true" hidden="false" outlineLevel="0" max="8" min="7" style="0" width="15"/>
  </cols>
  <sheetData>
    <row r="1" customFormat="false" ht="15" hidden="false" customHeight="false" outlineLevel="0" collapsed="false">
      <c r="A1" s="24" t="s">
        <v>132</v>
      </c>
      <c r="B1" s="24" t="s">
        <v>45</v>
      </c>
      <c r="C1" s="24" t="s">
        <v>30</v>
      </c>
      <c r="D1" s="24" t="s">
        <v>32</v>
      </c>
      <c r="E1" s="24" t="s">
        <v>133</v>
      </c>
      <c r="F1" s="24" t="s">
        <v>134</v>
      </c>
      <c r="G1" s="24" t="s">
        <v>47</v>
      </c>
      <c r="H1" s="24" t="s">
        <v>96</v>
      </c>
    </row>
    <row r="2" customFormat="false" ht="15" hidden="false" customHeight="false" outlineLevel="0" collapsed="false">
      <c r="A2" s="32" t="n">
        <v>45670</v>
      </c>
      <c r="B2" s="33" t="s">
        <v>49</v>
      </c>
      <c r="C2" s="33" t="s">
        <v>55</v>
      </c>
      <c r="D2" s="34" t="n">
        <v>67900</v>
      </c>
      <c r="E2" s="33" t="n">
        <v>21</v>
      </c>
      <c r="F2" s="34" t="n">
        <f aca="false">D2*E2</f>
        <v>1425900</v>
      </c>
      <c r="G2" s="33" t="s">
        <v>57</v>
      </c>
      <c r="H2" s="33" t="str">
        <f aca="false">INDEX(Products!$C$2:$C$51,MATCH(C2,Products!$B$2:$B$51,0))</f>
        <v>Commuter</v>
      </c>
    </row>
    <row r="3" customFormat="false" ht="15" hidden="false" customHeight="false" outlineLevel="0" collapsed="false">
      <c r="A3" s="32" t="n">
        <v>45809</v>
      </c>
      <c r="B3" s="33" t="s">
        <v>49</v>
      </c>
      <c r="C3" s="33" t="s">
        <v>117</v>
      </c>
      <c r="D3" s="34" t="n">
        <v>210000</v>
      </c>
      <c r="E3" s="33" t="n">
        <v>1</v>
      </c>
      <c r="F3" s="34" t="n">
        <f aca="false">D3*E3</f>
        <v>210000</v>
      </c>
      <c r="G3" s="33" t="s">
        <v>57</v>
      </c>
      <c r="H3" s="33" t="str">
        <f aca="false">INDEX(Products!$C$2:$C$51,MATCH(C3,Products!$B$2:$B$51,0))</f>
        <v>Scooter</v>
      </c>
    </row>
    <row r="4" customFormat="false" ht="15" hidden="false" customHeight="false" outlineLevel="0" collapsed="false">
      <c r="A4" s="32" t="n">
        <v>45809</v>
      </c>
      <c r="B4" s="33" t="s">
        <v>53</v>
      </c>
      <c r="C4" s="33" t="s">
        <v>128</v>
      </c>
      <c r="D4" s="34" t="n">
        <v>68900</v>
      </c>
      <c r="E4" s="33" t="n">
        <v>12</v>
      </c>
      <c r="F4" s="34" t="n">
        <f aca="false">D4*E4</f>
        <v>826800</v>
      </c>
      <c r="G4" s="33" t="s">
        <v>54</v>
      </c>
      <c r="H4" s="33" t="str">
        <f aca="false">INDEX(Products!$C$2:$C$51,MATCH(C4,Products!$B$2:$B$51,0))</f>
        <v>Standard</v>
      </c>
    </row>
    <row r="5" customFormat="false" ht="15" hidden="false" customHeight="false" outlineLevel="0" collapsed="false">
      <c r="A5" s="32" t="n">
        <v>45809</v>
      </c>
      <c r="B5" s="33" t="s">
        <v>49</v>
      </c>
      <c r="C5" s="33" t="s">
        <v>106</v>
      </c>
      <c r="D5" s="34" t="n">
        <v>284900</v>
      </c>
      <c r="E5" s="33" t="n">
        <v>32</v>
      </c>
      <c r="F5" s="34" t="n">
        <f aca="false">D5*E5</f>
        <v>9116800</v>
      </c>
      <c r="G5" s="33" t="s">
        <v>54</v>
      </c>
      <c r="H5" s="33" t="str">
        <f aca="false">INDEX(Products!$C$2:$C$51,MATCH(C5,Products!$B$2:$B$51,0))</f>
        <v>Dual-Sport</v>
      </c>
    </row>
    <row r="6" customFormat="false" ht="15" hidden="false" customHeight="false" outlineLevel="0" collapsed="false">
      <c r="A6" s="32" t="n">
        <v>45809</v>
      </c>
      <c r="B6" s="33" t="s">
        <v>53</v>
      </c>
      <c r="C6" s="33" t="s">
        <v>130</v>
      </c>
      <c r="D6" s="34" t="n">
        <v>119900</v>
      </c>
      <c r="E6" s="33" t="n">
        <v>3</v>
      </c>
      <c r="F6" s="34" t="n">
        <f aca="false">D6*E6</f>
        <v>359700</v>
      </c>
      <c r="G6" s="33" t="s">
        <v>50</v>
      </c>
      <c r="H6" s="33" t="str">
        <f aca="false">INDEX(Products!$C$2:$C$51,MATCH(C6,Products!$B$2:$B$51,0))</f>
        <v>Underbone</v>
      </c>
    </row>
    <row r="7" customFormat="false" ht="15" hidden="false" customHeight="false" outlineLevel="0" collapsed="false">
      <c r="A7" s="32" t="n">
        <v>45809</v>
      </c>
      <c r="B7" s="33" t="s">
        <v>53</v>
      </c>
      <c r="C7" s="33" t="s">
        <v>120</v>
      </c>
      <c r="D7" s="34" t="n">
        <v>124000</v>
      </c>
      <c r="E7" s="33" t="n">
        <v>23</v>
      </c>
      <c r="F7" s="34" t="n">
        <f aca="false">D7*E7</f>
        <v>2852000</v>
      </c>
      <c r="G7" s="33" t="s">
        <v>54</v>
      </c>
      <c r="H7" s="33" t="str">
        <f aca="false">INDEX(Products!$C$2:$C$51,MATCH(C7,Products!$B$2:$B$51,0))</f>
        <v>Scooter</v>
      </c>
    </row>
    <row r="8" customFormat="false" ht="15" hidden="false" customHeight="false" outlineLevel="0" collapsed="false">
      <c r="A8" s="32" t="n">
        <v>45809</v>
      </c>
      <c r="B8" s="33" t="s">
        <v>49</v>
      </c>
      <c r="C8" s="33" t="s">
        <v>128</v>
      </c>
      <c r="D8" s="34" t="n">
        <v>68900</v>
      </c>
      <c r="E8" s="33" t="n">
        <v>20</v>
      </c>
      <c r="F8" s="34" t="n">
        <f aca="false">D8*E8</f>
        <v>1378000</v>
      </c>
      <c r="G8" s="33" t="s">
        <v>54</v>
      </c>
      <c r="H8" s="33" t="str">
        <f aca="false">INDEX(Products!$C$2:$C$51,MATCH(C8,Products!$B$2:$B$51,0))</f>
        <v>Standard</v>
      </c>
    </row>
    <row r="9" customFormat="false" ht="15" hidden="false" customHeight="false" outlineLevel="0" collapsed="false">
      <c r="A9" s="32" t="n">
        <v>45809</v>
      </c>
      <c r="B9" s="33" t="s">
        <v>53</v>
      </c>
      <c r="C9" s="33" t="s">
        <v>60</v>
      </c>
      <c r="D9" s="34" t="n">
        <v>599000</v>
      </c>
      <c r="E9" s="33" t="n">
        <v>9</v>
      </c>
      <c r="F9" s="34" t="n">
        <f aca="false">D9*E9</f>
        <v>5391000</v>
      </c>
      <c r="G9" s="33" t="s">
        <v>54</v>
      </c>
      <c r="H9" s="33" t="str">
        <f aca="false">INDEX(Products!$C$2:$C$51,MATCH(C9,Products!$B$2:$B$51,0))</f>
        <v>Naked Bike</v>
      </c>
    </row>
    <row r="10" customFormat="false" ht="15" hidden="false" customHeight="false" outlineLevel="0" collapsed="false">
      <c r="A10" s="32" t="n">
        <v>45809</v>
      </c>
      <c r="B10" s="33" t="s">
        <v>49</v>
      </c>
      <c r="C10" s="33" t="s">
        <v>114</v>
      </c>
      <c r="D10" s="34" t="n">
        <v>319000</v>
      </c>
      <c r="E10" s="33" t="n">
        <v>26</v>
      </c>
      <c r="F10" s="34" t="n">
        <f aca="false">D10*E10</f>
        <v>8294000</v>
      </c>
      <c r="G10" s="33" t="s">
        <v>54</v>
      </c>
      <c r="H10" s="33" t="str">
        <f aca="false">INDEX(Products!$C$2:$C$51,MATCH(C10,Products!$B$2:$B$51,0))</f>
        <v>Scooter</v>
      </c>
    </row>
    <row r="11" customFormat="false" ht="15" hidden="false" customHeight="false" outlineLevel="0" collapsed="false">
      <c r="A11" s="32" t="n">
        <v>45809</v>
      </c>
      <c r="B11" s="33" t="s">
        <v>49</v>
      </c>
      <c r="C11" s="33" t="s">
        <v>112</v>
      </c>
      <c r="D11" s="34" t="n">
        <v>125000</v>
      </c>
      <c r="E11" s="33" t="n">
        <v>13</v>
      </c>
      <c r="F11" s="34" t="n">
        <f aca="false">D11*E11</f>
        <v>1625000</v>
      </c>
      <c r="G11" s="33" t="s">
        <v>57</v>
      </c>
      <c r="H11" s="33" t="str">
        <f aca="false">INDEX(Products!$C$2:$C$51,MATCH(C11,Products!$B$2:$B$51,0))</f>
        <v>Naked Bike</v>
      </c>
    </row>
    <row r="12" customFormat="false" ht="15" hidden="false" customHeight="false" outlineLevel="0" collapsed="false">
      <c r="A12" s="32" t="n">
        <v>45809</v>
      </c>
      <c r="B12" s="33" t="s">
        <v>53</v>
      </c>
      <c r="C12" s="33" t="s">
        <v>51</v>
      </c>
      <c r="D12" s="34" t="n">
        <v>689000</v>
      </c>
      <c r="E12" s="33" t="n">
        <v>12</v>
      </c>
      <c r="F12" s="34" t="n">
        <f aca="false">D12*E12</f>
        <v>8268000</v>
      </c>
      <c r="G12" s="33" t="s">
        <v>54</v>
      </c>
      <c r="H12" s="33" t="str">
        <f aca="false">INDEX(Products!$C$2:$C$51,MATCH(C12,Products!$B$2:$B$51,0))</f>
        <v>Heritage</v>
      </c>
    </row>
    <row r="13" customFormat="false" ht="15" hidden="false" customHeight="false" outlineLevel="0" collapsed="false">
      <c r="A13" s="32" t="n">
        <v>45809</v>
      </c>
      <c r="B13" s="33" t="s">
        <v>49</v>
      </c>
      <c r="C13" s="33" t="s">
        <v>116</v>
      </c>
      <c r="D13" s="34" t="n">
        <v>219000</v>
      </c>
      <c r="E13" s="33" t="n">
        <v>10</v>
      </c>
      <c r="F13" s="34" t="n">
        <f aca="false">D13*E13</f>
        <v>2190000</v>
      </c>
      <c r="G13" s="33" t="s">
        <v>57</v>
      </c>
      <c r="H13" s="33" t="str">
        <f aca="false">INDEX(Products!$C$2:$C$51,MATCH(C13,Products!$B$2:$B$51,0))</f>
        <v>Scooter</v>
      </c>
    </row>
    <row r="14" customFormat="false" ht="15" hidden="false" customHeight="false" outlineLevel="0" collapsed="false">
      <c r="A14" s="32" t="n">
        <v>45809</v>
      </c>
      <c r="B14" s="33" t="s">
        <v>49</v>
      </c>
      <c r="C14" s="33" t="s">
        <v>55</v>
      </c>
      <c r="D14" s="34" t="n">
        <v>67900</v>
      </c>
      <c r="E14" s="33" t="n">
        <v>6</v>
      </c>
      <c r="F14" s="34" t="n">
        <f aca="false">D14*E14</f>
        <v>407400</v>
      </c>
      <c r="G14" s="33" t="s">
        <v>50</v>
      </c>
      <c r="H14" s="33" t="str">
        <f aca="false">INDEX(Products!$C$2:$C$51,MATCH(C14,Products!$B$2:$B$51,0))</f>
        <v>Commuter</v>
      </c>
    </row>
    <row r="15" customFormat="false" ht="15" hidden="false" customHeight="false" outlineLevel="0" collapsed="false">
      <c r="A15" s="32" t="n">
        <v>45809</v>
      </c>
      <c r="B15" s="33" t="s">
        <v>49</v>
      </c>
      <c r="C15" s="33" t="s">
        <v>129</v>
      </c>
      <c r="D15" s="34" t="n">
        <v>125900</v>
      </c>
      <c r="E15" s="33" t="n">
        <v>8</v>
      </c>
      <c r="F15" s="34" t="n">
        <f aca="false">D15*E15</f>
        <v>1007200</v>
      </c>
      <c r="G15" s="33" t="s">
        <v>57</v>
      </c>
      <c r="H15" s="33" t="str">
        <f aca="false">INDEX(Products!$C$2:$C$51,MATCH(C15,Products!$B$2:$B$51,0))</f>
        <v>Underbone</v>
      </c>
    </row>
    <row r="16" customFormat="false" ht="15" hidden="false" customHeight="false" outlineLevel="0" collapsed="false">
      <c r="A16" s="32" t="n">
        <v>45809</v>
      </c>
      <c r="B16" s="33" t="s">
        <v>56</v>
      </c>
      <c r="C16" s="33" t="s">
        <v>104</v>
      </c>
      <c r="D16" s="34" t="n">
        <v>499000</v>
      </c>
      <c r="E16" s="33" t="n">
        <v>7</v>
      </c>
      <c r="F16" s="34" t="n">
        <f aca="false">D16*E16</f>
        <v>3493000</v>
      </c>
      <c r="G16" s="33" t="s">
        <v>57</v>
      </c>
      <c r="H16" s="33" t="str">
        <f aca="false">INDEX(Products!$C$2:$C$51,MATCH(C16,Products!$B$2:$B$51,0))</f>
        <v>Cruiser</v>
      </c>
    </row>
    <row r="17" customFormat="false" ht="15" hidden="false" customHeight="false" outlineLevel="0" collapsed="false">
      <c r="A17" s="32" t="n">
        <v>45809</v>
      </c>
      <c r="B17" s="33" t="s">
        <v>49</v>
      </c>
      <c r="C17" s="33" t="s">
        <v>120</v>
      </c>
      <c r="D17" s="34" t="n">
        <v>124000</v>
      </c>
      <c r="E17" s="33" t="n">
        <v>38</v>
      </c>
      <c r="F17" s="34" t="n">
        <f aca="false">D17*E17</f>
        <v>4712000</v>
      </c>
      <c r="G17" s="33" t="s">
        <v>57</v>
      </c>
      <c r="H17" s="33" t="str">
        <f aca="false">INDEX(Products!$C$2:$C$51,MATCH(C17,Products!$B$2:$B$51,0))</f>
        <v>Scooter</v>
      </c>
    </row>
    <row r="18" customFormat="false" ht="15" hidden="false" customHeight="false" outlineLevel="0" collapsed="false">
      <c r="A18" s="32" t="n">
        <v>45809</v>
      </c>
      <c r="B18" s="33" t="s">
        <v>53</v>
      </c>
      <c r="C18" s="33" t="s">
        <v>128</v>
      </c>
      <c r="D18" s="34" t="n">
        <v>68900</v>
      </c>
      <c r="E18" s="33" t="n">
        <v>21</v>
      </c>
      <c r="F18" s="34" t="n">
        <f aca="false">D18*E18</f>
        <v>1446900</v>
      </c>
      <c r="G18" s="33" t="s">
        <v>54</v>
      </c>
      <c r="H18" s="33" t="str">
        <f aca="false">INDEX(Products!$C$2:$C$51,MATCH(C18,Products!$B$2:$B$51,0))</f>
        <v>Standard</v>
      </c>
    </row>
    <row r="19" customFormat="false" ht="15" hidden="false" customHeight="false" outlineLevel="0" collapsed="false">
      <c r="A19" s="32" t="n">
        <v>45809</v>
      </c>
      <c r="B19" s="33" t="s">
        <v>49</v>
      </c>
      <c r="C19" s="33" t="s">
        <v>60</v>
      </c>
      <c r="D19" s="34" t="n">
        <v>599000</v>
      </c>
      <c r="E19" s="33" t="n">
        <v>1</v>
      </c>
      <c r="F19" s="34" t="n">
        <f aca="false">D19*E19</f>
        <v>599000</v>
      </c>
      <c r="G19" s="33" t="s">
        <v>50</v>
      </c>
      <c r="H19" s="33" t="str">
        <f aca="false">INDEX(Products!$C$2:$C$51,MATCH(C19,Products!$B$2:$B$51,0))</f>
        <v>Naked Bike</v>
      </c>
    </row>
    <row r="20" customFormat="false" ht="15" hidden="false" customHeight="false" outlineLevel="0" collapsed="false">
      <c r="A20" s="32" t="n">
        <v>45810</v>
      </c>
      <c r="B20" s="33" t="s">
        <v>53</v>
      </c>
      <c r="C20" s="33" t="s">
        <v>52</v>
      </c>
      <c r="D20" s="34" t="n">
        <v>398000</v>
      </c>
      <c r="E20" s="33" t="n">
        <v>32</v>
      </c>
      <c r="F20" s="34" t="n">
        <f aca="false">D20*E20</f>
        <v>12736000</v>
      </c>
      <c r="G20" s="33" t="s">
        <v>50</v>
      </c>
      <c r="H20" s="33" t="str">
        <f aca="false">INDEX(Products!$C$2:$C$51,MATCH(C20,Products!$B$2:$B$51,0))</f>
        <v>Cruiser</v>
      </c>
    </row>
    <row r="21" customFormat="false" ht="15" hidden="false" customHeight="false" outlineLevel="0" collapsed="false">
      <c r="A21" s="32" t="n">
        <v>45810</v>
      </c>
      <c r="B21" s="33" t="s">
        <v>53</v>
      </c>
      <c r="C21" s="33" t="s">
        <v>65</v>
      </c>
      <c r="D21" s="34" t="n">
        <v>345000</v>
      </c>
      <c r="E21" s="33" t="n">
        <v>4</v>
      </c>
      <c r="F21" s="34" t="n">
        <f aca="false">D21*E21</f>
        <v>1380000</v>
      </c>
      <c r="G21" s="33" t="s">
        <v>57</v>
      </c>
      <c r="H21" s="33" t="str">
        <f aca="false">INDEX(Products!$C$2:$C$51,MATCH(C21,Products!$B$2:$B$51,0))</f>
        <v>Touring</v>
      </c>
    </row>
    <row r="22" customFormat="false" ht="15" hidden="false" customHeight="false" outlineLevel="0" collapsed="false">
      <c r="A22" s="32" t="n">
        <v>45810</v>
      </c>
      <c r="B22" s="33" t="s">
        <v>49</v>
      </c>
      <c r="C22" s="33" t="s">
        <v>65</v>
      </c>
      <c r="D22" s="34" t="n">
        <v>345000</v>
      </c>
      <c r="E22" s="33" t="n">
        <v>10</v>
      </c>
      <c r="F22" s="34" t="n">
        <f aca="false">D22*E22</f>
        <v>3450000</v>
      </c>
      <c r="G22" s="33" t="s">
        <v>57</v>
      </c>
      <c r="H22" s="33" t="str">
        <f aca="false">INDEX(Products!$C$2:$C$51,MATCH(C22,Products!$B$2:$B$51,0))</f>
        <v>Touring</v>
      </c>
    </row>
    <row r="23" customFormat="false" ht="15" hidden="false" customHeight="false" outlineLevel="0" collapsed="false">
      <c r="A23" s="32" t="n">
        <v>45810</v>
      </c>
      <c r="B23" s="33" t="s">
        <v>53</v>
      </c>
      <c r="C23" s="33" t="s">
        <v>109</v>
      </c>
      <c r="D23" s="34" t="n">
        <v>178000</v>
      </c>
      <c r="E23" s="33" t="n">
        <v>1</v>
      </c>
      <c r="F23" s="34" t="n">
        <f aca="false">D23*E23</f>
        <v>178000</v>
      </c>
      <c r="G23" s="33" t="s">
        <v>54</v>
      </c>
      <c r="H23" s="33" t="str">
        <f aca="false">INDEX(Products!$C$2:$C$51,MATCH(C23,Products!$B$2:$B$51,0))</f>
        <v>Naked Bike</v>
      </c>
    </row>
    <row r="24" customFormat="false" ht="15" hidden="false" customHeight="false" outlineLevel="0" collapsed="false">
      <c r="A24" s="32" t="n">
        <v>45810</v>
      </c>
      <c r="B24" s="33" t="s">
        <v>49</v>
      </c>
      <c r="C24" s="33" t="s">
        <v>59</v>
      </c>
      <c r="D24" s="34" t="n">
        <v>165000</v>
      </c>
      <c r="E24" s="33" t="n">
        <v>25</v>
      </c>
      <c r="F24" s="34" t="n">
        <f aca="false">D24*E24</f>
        <v>4125000</v>
      </c>
      <c r="G24" s="33" t="s">
        <v>57</v>
      </c>
      <c r="H24" s="33" t="str">
        <f aca="false">INDEX(Products!$C$2:$C$51,MATCH(C24,Products!$B$2:$B$51,0))</f>
        <v>Sport</v>
      </c>
    </row>
    <row r="25" customFormat="false" ht="15" hidden="false" customHeight="false" outlineLevel="0" collapsed="false">
      <c r="A25" s="32" t="n">
        <v>45810</v>
      </c>
      <c r="B25" s="33" t="s">
        <v>49</v>
      </c>
      <c r="C25" s="33" t="s">
        <v>99</v>
      </c>
      <c r="D25" s="34" t="n">
        <v>369000</v>
      </c>
      <c r="E25" s="33" t="n">
        <v>19</v>
      </c>
      <c r="F25" s="34" t="n">
        <f aca="false">D25*E25</f>
        <v>7011000</v>
      </c>
      <c r="G25" s="33" t="s">
        <v>57</v>
      </c>
      <c r="H25" s="33" t="str">
        <f aca="false">INDEX(Products!$C$2:$C$51,MATCH(C25,Products!$B$2:$B$51,0))</f>
        <v>Adventure</v>
      </c>
    </row>
    <row r="26" customFormat="false" ht="15" hidden="false" customHeight="false" outlineLevel="0" collapsed="false">
      <c r="A26" s="32" t="n">
        <v>45810</v>
      </c>
      <c r="B26" s="33" t="s">
        <v>53</v>
      </c>
      <c r="C26" s="33" t="s">
        <v>102</v>
      </c>
      <c r="D26" s="34" t="n">
        <v>269000</v>
      </c>
      <c r="E26" s="33" t="n">
        <v>11</v>
      </c>
      <c r="F26" s="34" t="n">
        <f aca="false">D26*E26</f>
        <v>2959000</v>
      </c>
      <c r="G26" s="33" t="s">
        <v>57</v>
      </c>
      <c r="H26" s="33" t="str">
        <f aca="false">INDEX(Products!$C$2:$C$51,MATCH(C26,Products!$B$2:$B$51,0))</f>
        <v>Cafe Racer</v>
      </c>
    </row>
    <row r="27" customFormat="false" ht="15" hidden="false" customHeight="false" outlineLevel="0" collapsed="false">
      <c r="A27" s="32" t="n">
        <v>45810</v>
      </c>
      <c r="B27" s="33" t="s">
        <v>49</v>
      </c>
      <c r="C27" s="33" t="s">
        <v>118</v>
      </c>
      <c r="D27" s="34" t="n">
        <v>151900</v>
      </c>
      <c r="E27" s="33" t="n">
        <v>29</v>
      </c>
      <c r="F27" s="34" t="n">
        <f aca="false">D27*E27</f>
        <v>4405100</v>
      </c>
      <c r="G27" s="33" t="s">
        <v>57</v>
      </c>
      <c r="H27" s="33" t="str">
        <f aca="false">INDEX(Products!$C$2:$C$51,MATCH(C27,Products!$B$2:$B$51,0))</f>
        <v>Scooter</v>
      </c>
    </row>
    <row r="28" customFormat="false" ht="15" hidden="false" customHeight="false" outlineLevel="0" collapsed="false">
      <c r="A28" s="32" t="n">
        <v>45810</v>
      </c>
      <c r="B28" s="33" t="s">
        <v>53</v>
      </c>
      <c r="C28" s="33" t="s">
        <v>108</v>
      </c>
      <c r="D28" s="34" t="n">
        <v>331000</v>
      </c>
      <c r="E28" s="33" t="n">
        <v>15</v>
      </c>
      <c r="F28" s="34" t="n">
        <f aca="false">D28*E28</f>
        <v>4965000</v>
      </c>
      <c r="G28" s="33" t="s">
        <v>54</v>
      </c>
      <c r="H28" s="33" t="str">
        <f aca="false">INDEX(Products!$C$2:$C$51,MATCH(C28,Products!$B$2:$B$51,0))</f>
        <v>Naked Bike</v>
      </c>
    </row>
    <row r="29" customFormat="false" ht="15" hidden="false" customHeight="false" outlineLevel="0" collapsed="false">
      <c r="A29" s="32" t="n">
        <v>45810</v>
      </c>
      <c r="B29" s="33" t="s">
        <v>53</v>
      </c>
      <c r="C29" s="33" t="s">
        <v>63</v>
      </c>
      <c r="D29" s="34" t="n">
        <v>99900</v>
      </c>
      <c r="E29" s="33" t="n">
        <v>5</v>
      </c>
      <c r="F29" s="34" t="n">
        <f aca="false">D29*E29</f>
        <v>499500</v>
      </c>
      <c r="G29" s="33" t="s">
        <v>57</v>
      </c>
      <c r="H29" s="33" t="str">
        <f aca="false">INDEX(Products!$C$2:$C$51,MATCH(C29,Products!$B$2:$B$51,0))</f>
        <v>Street</v>
      </c>
    </row>
    <row r="30" customFormat="false" ht="15" hidden="false" customHeight="false" outlineLevel="0" collapsed="false">
      <c r="A30" s="32" t="n">
        <v>45810</v>
      </c>
      <c r="B30" s="33" t="s">
        <v>49</v>
      </c>
      <c r="C30" s="33" t="s">
        <v>113</v>
      </c>
      <c r="D30" s="34" t="n">
        <v>182000</v>
      </c>
      <c r="E30" s="33" t="n">
        <v>44</v>
      </c>
      <c r="F30" s="34" t="n">
        <f aca="false">D30*E30</f>
        <v>8008000</v>
      </c>
      <c r="G30" s="33" t="s">
        <v>54</v>
      </c>
      <c r="H30" s="33" t="str">
        <f aca="false">INDEX(Products!$C$2:$C$51,MATCH(C30,Products!$B$2:$B$51,0))</f>
        <v>Retro</v>
      </c>
    </row>
    <row r="31" customFormat="false" ht="15" hidden="false" customHeight="false" outlineLevel="0" collapsed="false">
      <c r="A31" s="32" t="n">
        <v>45810</v>
      </c>
      <c r="B31" s="33" t="s">
        <v>53</v>
      </c>
      <c r="C31" s="33" t="s">
        <v>99</v>
      </c>
      <c r="D31" s="34" t="n">
        <v>369000</v>
      </c>
      <c r="E31" s="33" t="n">
        <v>23</v>
      </c>
      <c r="F31" s="34" t="n">
        <f aca="false">D31*E31</f>
        <v>8487000</v>
      </c>
      <c r="G31" s="33" t="s">
        <v>50</v>
      </c>
      <c r="H31" s="33" t="str">
        <f aca="false">INDEX(Products!$C$2:$C$51,MATCH(C31,Products!$B$2:$B$51,0))</f>
        <v>Adventure</v>
      </c>
    </row>
    <row r="32" customFormat="false" ht="15" hidden="false" customHeight="false" outlineLevel="0" collapsed="false">
      <c r="A32" s="32" t="n">
        <v>45810</v>
      </c>
      <c r="B32" s="33" t="s">
        <v>49</v>
      </c>
      <c r="C32" s="33" t="s">
        <v>63</v>
      </c>
      <c r="D32" s="34" t="n">
        <v>99900</v>
      </c>
      <c r="E32" s="33" t="n">
        <v>48</v>
      </c>
      <c r="F32" s="34" t="n">
        <f aca="false">D32*E32</f>
        <v>4795200</v>
      </c>
      <c r="G32" s="33" t="s">
        <v>57</v>
      </c>
      <c r="H32" s="33" t="str">
        <f aca="false">INDEX(Products!$C$2:$C$51,MATCH(C32,Products!$B$2:$B$51,0))</f>
        <v>Street</v>
      </c>
    </row>
    <row r="33" customFormat="false" ht="15" hidden="false" customHeight="false" outlineLevel="0" collapsed="false">
      <c r="A33" s="32" t="n">
        <v>45810</v>
      </c>
      <c r="B33" s="33" t="s">
        <v>49</v>
      </c>
      <c r="C33" s="33" t="s">
        <v>51</v>
      </c>
      <c r="D33" s="34" t="n">
        <v>689000</v>
      </c>
      <c r="E33" s="33" t="n">
        <v>10</v>
      </c>
      <c r="F33" s="34" t="n">
        <f aca="false">D33*E33</f>
        <v>6890000</v>
      </c>
      <c r="G33" s="33" t="s">
        <v>54</v>
      </c>
      <c r="H33" s="33" t="str">
        <f aca="false">INDEX(Products!$C$2:$C$51,MATCH(C33,Products!$B$2:$B$51,0))</f>
        <v>Heritage</v>
      </c>
    </row>
    <row r="34" customFormat="false" ht="15" hidden="false" customHeight="false" outlineLevel="0" collapsed="false">
      <c r="A34" s="32" t="n">
        <v>45810</v>
      </c>
      <c r="B34" s="33" t="s">
        <v>49</v>
      </c>
      <c r="C34" s="33" t="s">
        <v>59</v>
      </c>
      <c r="D34" s="34" t="n">
        <v>165000</v>
      </c>
      <c r="E34" s="33" t="n">
        <v>9</v>
      </c>
      <c r="F34" s="34" t="n">
        <f aca="false">D34*E34</f>
        <v>1485000</v>
      </c>
      <c r="G34" s="33" t="s">
        <v>54</v>
      </c>
      <c r="H34" s="33" t="str">
        <f aca="false">INDEX(Products!$C$2:$C$51,MATCH(C34,Products!$B$2:$B$51,0))</f>
        <v>Sport</v>
      </c>
    </row>
    <row r="35" customFormat="false" ht="15" hidden="false" customHeight="false" outlineLevel="0" collapsed="false">
      <c r="A35" s="32" t="n">
        <v>45811</v>
      </c>
      <c r="B35" s="33" t="s">
        <v>49</v>
      </c>
      <c r="C35" s="33" t="s">
        <v>106</v>
      </c>
      <c r="D35" s="34" t="n">
        <v>284900</v>
      </c>
      <c r="E35" s="33" t="n">
        <v>21</v>
      </c>
      <c r="F35" s="34" t="n">
        <f aca="false">D35*E35</f>
        <v>5982900</v>
      </c>
      <c r="G35" s="33" t="s">
        <v>57</v>
      </c>
      <c r="H35" s="33" t="str">
        <f aca="false">INDEX(Products!$C$2:$C$51,MATCH(C35,Products!$B$2:$B$51,0))</f>
        <v>Dual-Sport</v>
      </c>
    </row>
    <row r="36" customFormat="false" ht="15" hidden="false" customHeight="false" outlineLevel="0" collapsed="false">
      <c r="A36" s="32" t="n">
        <v>45811</v>
      </c>
      <c r="B36" s="33" t="s">
        <v>49</v>
      </c>
      <c r="C36" s="33" t="s">
        <v>129</v>
      </c>
      <c r="D36" s="34" t="n">
        <v>125900</v>
      </c>
      <c r="E36" s="33" t="n">
        <v>17</v>
      </c>
      <c r="F36" s="34" t="n">
        <f aca="false">D36*E36</f>
        <v>2140300</v>
      </c>
      <c r="G36" s="33" t="s">
        <v>57</v>
      </c>
      <c r="H36" s="33" t="str">
        <f aca="false">INDEX(Products!$C$2:$C$51,MATCH(C36,Products!$B$2:$B$51,0))</f>
        <v>Underbone</v>
      </c>
    </row>
    <row r="37" customFormat="false" ht="15" hidden="false" customHeight="false" outlineLevel="0" collapsed="false">
      <c r="A37" s="32" t="n">
        <v>45811</v>
      </c>
      <c r="B37" s="33" t="s">
        <v>49</v>
      </c>
      <c r="C37" s="33" t="s">
        <v>115</v>
      </c>
      <c r="D37" s="34" t="n">
        <v>289000</v>
      </c>
      <c r="E37" s="33" t="n">
        <v>11</v>
      </c>
      <c r="F37" s="34" t="n">
        <f aca="false">D37*E37</f>
        <v>3179000</v>
      </c>
      <c r="G37" s="33" t="s">
        <v>57</v>
      </c>
      <c r="H37" s="33" t="str">
        <f aca="false">INDEX(Products!$C$2:$C$51,MATCH(C37,Products!$B$2:$B$51,0))</f>
        <v>Scooter</v>
      </c>
    </row>
    <row r="38" customFormat="false" ht="15" hidden="false" customHeight="false" outlineLevel="0" collapsed="false">
      <c r="A38" s="32" t="n">
        <v>45811</v>
      </c>
      <c r="B38" s="33" t="s">
        <v>53</v>
      </c>
      <c r="C38" s="33" t="s">
        <v>51</v>
      </c>
      <c r="D38" s="34" t="n">
        <v>689000</v>
      </c>
      <c r="E38" s="33" t="n">
        <v>13</v>
      </c>
      <c r="F38" s="34" t="n">
        <f aca="false">D38*E38</f>
        <v>8957000</v>
      </c>
      <c r="G38" s="33" t="s">
        <v>57</v>
      </c>
      <c r="H38" s="33" t="str">
        <f aca="false">INDEX(Products!$C$2:$C$51,MATCH(C38,Products!$B$2:$B$51,0))</f>
        <v>Heritage</v>
      </c>
    </row>
    <row r="39" customFormat="false" ht="15" hidden="false" customHeight="false" outlineLevel="0" collapsed="false">
      <c r="A39" s="32" t="n">
        <v>45811</v>
      </c>
      <c r="B39" s="33" t="s">
        <v>53</v>
      </c>
      <c r="C39" s="33" t="s">
        <v>125</v>
      </c>
      <c r="D39" s="34" t="n">
        <v>340000</v>
      </c>
      <c r="E39" s="33" t="n">
        <v>25</v>
      </c>
      <c r="F39" s="34" t="n">
        <f aca="false">D39*E39</f>
        <v>8500000</v>
      </c>
      <c r="G39" s="33" t="s">
        <v>54</v>
      </c>
      <c r="H39" s="33" t="str">
        <f aca="false">INDEX(Products!$C$2:$C$51,MATCH(C39,Products!$B$2:$B$51,0))</f>
        <v>Sport</v>
      </c>
    </row>
    <row r="40" customFormat="false" ht="15" hidden="false" customHeight="false" outlineLevel="0" collapsed="false">
      <c r="A40" s="32" t="n">
        <v>45811</v>
      </c>
      <c r="B40" s="33" t="s">
        <v>49</v>
      </c>
      <c r="C40" s="33" t="s">
        <v>128</v>
      </c>
      <c r="D40" s="34" t="n">
        <v>68900</v>
      </c>
      <c r="E40" s="33" t="n">
        <v>35</v>
      </c>
      <c r="F40" s="34" t="n">
        <f aca="false">D40*E40</f>
        <v>2411500</v>
      </c>
      <c r="G40" s="33" t="s">
        <v>50</v>
      </c>
      <c r="H40" s="33" t="str">
        <f aca="false">INDEX(Products!$C$2:$C$51,MATCH(C40,Products!$B$2:$B$51,0))</f>
        <v>Standard</v>
      </c>
    </row>
    <row r="41" customFormat="false" ht="15" hidden="false" customHeight="false" outlineLevel="0" collapsed="false">
      <c r="A41" s="32" t="n">
        <v>45811</v>
      </c>
      <c r="B41" s="33" t="s">
        <v>53</v>
      </c>
      <c r="C41" s="33" t="s">
        <v>105</v>
      </c>
      <c r="D41" s="34" t="n">
        <v>349000</v>
      </c>
      <c r="E41" s="33" t="n">
        <v>13</v>
      </c>
      <c r="F41" s="34" t="n">
        <f aca="false">D41*E41</f>
        <v>4537000</v>
      </c>
      <c r="G41" s="33" t="s">
        <v>57</v>
      </c>
      <c r="H41" s="33" t="str">
        <f aca="false">INDEX(Products!$C$2:$C$51,MATCH(C41,Products!$B$2:$B$51,0))</f>
        <v>Cruiser</v>
      </c>
    </row>
    <row r="42" customFormat="false" ht="15" hidden="false" customHeight="false" outlineLevel="0" collapsed="false">
      <c r="A42" s="32" t="n">
        <v>45811</v>
      </c>
      <c r="B42" s="33" t="s">
        <v>49</v>
      </c>
      <c r="C42" s="33" t="s">
        <v>67</v>
      </c>
      <c r="D42" s="34" t="n">
        <v>250000</v>
      </c>
      <c r="E42" s="33" t="n">
        <v>22</v>
      </c>
      <c r="F42" s="34" t="n">
        <f aca="false">D42*E42</f>
        <v>5500000</v>
      </c>
      <c r="G42" s="33" t="s">
        <v>50</v>
      </c>
      <c r="H42" s="33" t="str">
        <f aca="false">INDEX(Products!$C$2:$C$51,MATCH(C42,Products!$B$2:$B$51,0))</f>
        <v>Classic</v>
      </c>
    </row>
    <row r="43" customFormat="false" ht="15" hidden="false" customHeight="false" outlineLevel="0" collapsed="false">
      <c r="A43" s="32" t="n">
        <v>45811</v>
      </c>
      <c r="B43" s="33" t="s">
        <v>53</v>
      </c>
      <c r="C43" s="33" t="s">
        <v>115</v>
      </c>
      <c r="D43" s="34" t="n">
        <v>289000</v>
      </c>
      <c r="E43" s="33" t="n">
        <v>49</v>
      </c>
      <c r="F43" s="34" t="n">
        <f aca="false">D43*E43</f>
        <v>14161000</v>
      </c>
      <c r="G43" s="33" t="s">
        <v>54</v>
      </c>
      <c r="H43" s="33" t="str">
        <f aca="false">INDEX(Products!$C$2:$C$51,MATCH(C43,Products!$B$2:$B$51,0))</f>
        <v>Scooter</v>
      </c>
    </row>
    <row r="44" customFormat="false" ht="15" hidden="false" customHeight="false" outlineLevel="0" collapsed="false">
      <c r="A44" s="32" t="n">
        <v>45811</v>
      </c>
      <c r="B44" s="33" t="s">
        <v>49</v>
      </c>
      <c r="C44" s="33" t="s">
        <v>63</v>
      </c>
      <c r="D44" s="34" t="n">
        <v>99900</v>
      </c>
      <c r="E44" s="33" t="n">
        <v>17</v>
      </c>
      <c r="F44" s="34" t="n">
        <f aca="false">D44*E44</f>
        <v>1698300</v>
      </c>
      <c r="G44" s="33" t="s">
        <v>50</v>
      </c>
      <c r="H44" s="33" t="str">
        <f aca="false">INDEX(Products!$C$2:$C$51,MATCH(C44,Products!$B$2:$B$51,0))</f>
        <v>Street</v>
      </c>
    </row>
    <row r="45" customFormat="false" ht="15" hidden="false" customHeight="false" outlineLevel="0" collapsed="false">
      <c r="A45" s="32" t="n">
        <v>45811</v>
      </c>
      <c r="B45" s="33" t="s">
        <v>49</v>
      </c>
      <c r="C45" s="33" t="s">
        <v>128</v>
      </c>
      <c r="D45" s="34" t="n">
        <v>68900</v>
      </c>
      <c r="E45" s="33" t="n">
        <v>5</v>
      </c>
      <c r="F45" s="34" t="n">
        <f aca="false">D45*E45</f>
        <v>344500</v>
      </c>
      <c r="G45" s="33" t="s">
        <v>54</v>
      </c>
      <c r="H45" s="33" t="str">
        <f aca="false">INDEX(Products!$C$2:$C$51,MATCH(C45,Products!$B$2:$B$51,0))</f>
        <v>Standard</v>
      </c>
    </row>
    <row r="46" customFormat="false" ht="15" hidden="false" customHeight="false" outlineLevel="0" collapsed="false">
      <c r="A46" s="32" t="n">
        <v>45811</v>
      </c>
      <c r="B46" s="33" t="s">
        <v>53</v>
      </c>
      <c r="C46" s="33" t="s">
        <v>55</v>
      </c>
      <c r="D46" s="34" t="n">
        <v>67900</v>
      </c>
      <c r="E46" s="33" t="n">
        <v>10</v>
      </c>
      <c r="F46" s="34" t="n">
        <f aca="false">D46*E46</f>
        <v>679000</v>
      </c>
      <c r="G46" s="33" t="s">
        <v>57</v>
      </c>
      <c r="H46" s="33" t="str">
        <f aca="false">INDEX(Products!$C$2:$C$51,MATCH(C46,Products!$B$2:$B$51,0))</f>
        <v>Commuter</v>
      </c>
    </row>
    <row r="47" customFormat="false" ht="15" hidden="false" customHeight="false" outlineLevel="0" collapsed="false">
      <c r="A47" s="32" t="n">
        <v>45811</v>
      </c>
      <c r="B47" s="33" t="s">
        <v>49</v>
      </c>
      <c r="C47" s="33" t="s">
        <v>59</v>
      </c>
      <c r="D47" s="34" t="n">
        <v>165000</v>
      </c>
      <c r="E47" s="33" t="n">
        <v>7</v>
      </c>
      <c r="F47" s="34" t="n">
        <f aca="false">D47*E47</f>
        <v>1155000</v>
      </c>
      <c r="G47" s="33" t="s">
        <v>54</v>
      </c>
      <c r="H47" s="33" t="str">
        <f aca="false">INDEX(Products!$C$2:$C$51,MATCH(C47,Products!$B$2:$B$51,0))</f>
        <v>Sport</v>
      </c>
    </row>
    <row r="48" customFormat="false" ht="15" hidden="false" customHeight="false" outlineLevel="0" collapsed="false">
      <c r="A48" s="32" t="n">
        <v>45811</v>
      </c>
      <c r="B48" s="33" t="s">
        <v>49</v>
      </c>
      <c r="C48" s="33" t="s">
        <v>121</v>
      </c>
      <c r="D48" s="34" t="n">
        <v>80900</v>
      </c>
      <c r="E48" s="33" t="n">
        <v>33</v>
      </c>
      <c r="F48" s="34" t="n">
        <f aca="false">D48*E48</f>
        <v>2669700</v>
      </c>
      <c r="G48" s="33" t="s">
        <v>50</v>
      </c>
      <c r="H48" s="33" t="str">
        <f aca="false">INDEX(Products!$C$2:$C$51,MATCH(C48,Products!$B$2:$B$51,0))</f>
        <v>Scooter</v>
      </c>
    </row>
    <row r="49" customFormat="false" ht="15" hidden="false" customHeight="false" outlineLevel="0" collapsed="false">
      <c r="A49" s="32" t="n">
        <v>45812</v>
      </c>
      <c r="B49" s="33" t="s">
        <v>49</v>
      </c>
      <c r="C49" s="33" t="s">
        <v>126</v>
      </c>
      <c r="D49" s="34" t="n">
        <v>198000</v>
      </c>
      <c r="E49" s="33" t="n">
        <v>2</v>
      </c>
      <c r="F49" s="34" t="n">
        <f aca="false">D49*E49</f>
        <v>396000</v>
      </c>
      <c r="G49" s="33" t="s">
        <v>50</v>
      </c>
      <c r="H49" s="33" t="str">
        <f aca="false">INDEX(Products!$C$2:$C$51,MATCH(C49,Products!$B$2:$B$51,0))</f>
        <v>Sport</v>
      </c>
    </row>
    <row r="50" customFormat="false" ht="15" hidden="false" customHeight="false" outlineLevel="0" collapsed="false">
      <c r="A50" s="32" t="n">
        <v>45812</v>
      </c>
      <c r="B50" s="33" t="s">
        <v>49</v>
      </c>
      <c r="C50" s="33" t="s">
        <v>126</v>
      </c>
      <c r="D50" s="34" t="n">
        <v>198000</v>
      </c>
      <c r="E50" s="33" t="n">
        <v>15</v>
      </c>
      <c r="F50" s="34" t="n">
        <f aca="false">D50*E50</f>
        <v>2970000</v>
      </c>
      <c r="G50" s="33" t="s">
        <v>50</v>
      </c>
      <c r="H50" s="33" t="str">
        <f aca="false">INDEX(Products!$C$2:$C$51,MATCH(C50,Products!$B$2:$B$51,0))</f>
        <v>Sport</v>
      </c>
    </row>
    <row r="51" customFormat="false" ht="15" hidden="false" customHeight="false" outlineLevel="0" collapsed="false">
      <c r="A51" s="32" t="n">
        <v>45812</v>
      </c>
      <c r="B51" s="33" t="s">
        <v>49</v>
      </c>
      <c r="C51" s="33" t="s">
        <v>103</v>
      </c>
      <c r="D51" s="34" t="n">
        <v>48000</v>
      </c>
      <c r="E51" s="33" t="n">
        <v>6</v>
      </c>
      <c r="F51" s="34" t="n">
        <f aca="false">D51*E51</f>
        <v>288000</v>
      </c>
      <c r="G51" s="33" t="s">
        <v>54</v>
      </c>
      <c r="H51" s="33" t="str">
        <f aca="false">INDEX(Products!$C$2:$C$51,MATCH(C51,Products!$B$2:$B$51,0))</f>
        <v>Commuter</v>
      </c>
    </row>
    <row r="52" customFormat="false" ht="15" hidden="false" customHeight="false" outlineLevel="0" collapsed="false">
      <c r="A52" s="32" t="n">
        <v>45812</v>
      </c>
      <c r="B52" s="33" t="s">
        <v>53</v>
      </c>
      <c r="C52" s="33" t="s">
        <v>55</v>
      </c>
      <c r="D52" s="34" t="n">
        <v>67900</v>
      </c>
      <c r="E52" s="33" t="n">
        <v>20</v>
      </c>
      <c r="F52" s="34" t="n">
        <f aca="false">D52*E52</f>
        <v>1358000</v>
      </c>
      <c r="G52" s="33" t="s">
        <v>54</v>
      </c>
      <c r="H52" s="33" t="str">
        <f aca="false">INDEX(Products!$C$2:$C$51,MATCH(C52,Products!$B$2:$B$51,0))</f>
        <v>Commuter</v>
      </c>
    </row>
    <row r="53" customFormat="false" ht="15" hidden="false" customHeight="false" outlineLevel="0" collapsed="false">
      <c r="A53" s="32" t="n">
        <v>45812</v>
      </c>
      <c r="B53" s="33" t="s">
        <v>53</v>
      </c>
      <c r="C53" s="33" t="s">
        <v>69</v>
      </c>
      <c r="D53" s="34" t="n">
        <v>164900</v>
      </c>
      <c r="E53" s="33" t="n">
        <v>5</v>
      </c>
      <c r="F53" s="34" t="n">
        <f aca="false">D53*E53</f>
        <v>824500</v>
      </c>
      <c r="G53" s="33" t="s">
        <v>57</v>
      </c>
      <c r="H53" s="33" t="str">
        <f aca="false">INDEX(Products!$C$2:$C$51,MATCH(C53,Products!$B$2:$B$51,0))</f>
        <v>Scooter</v>
      </c>
    </row>
    <row r="54" customFormat="false" ht="15" hidden="false" customHeight="false" outlineLevel="0" collapsed="false">
      <c r="A54" s="32" t="n">
        <v>45812</v>
      </c>
      <c r="B54" s="33" t="s">
        <v>49</v>
      </c>
      <c r="C54" s="33" t="s">
        <v>65</v>
      </c>
      <c r="D54" s="34" t="n">
        <v>345000</v>
      </c>
      <c r="E54" s="33" t="n">
        <v>9</v>
      </c>
      <c r="F54" s="34" t="n">
        <f aca="false">D54*E54</f>
        <v>3105000</v>
      </c>
      <c r="G54" s="33" t="s">
        <v>54</v>
      </c>
      <c r="H54" s="33" t="str">
        <f aca="false">INDEX(Products!$C$2:$C$51,MATCH(C54,Products!$B$2:$B$51,0))</f>
        <v>Touring</v>
      </c>
    </row>
    <row r="55" customFormat="false" ht="15" hidden="false" customHeight="false" outlineLevel="0" collapsed="false">
      <c r="A55" s="32" t="n">
        <v>45812</v>
      </c>
      <c r="B55" s="33" t="s">
        <v>49</v>
      </c>
      <c r="C55" s="33" t="s">
        <v>58</v>
      </c>
      <c r="D55" s="34" t="n">
        <v>995000</v>
      </c>
      <c r="E55" s="33" t="n">
        <v>8</v>
      </c>
      <c r="F55" s="34" t="n">
        <f aca="false">D55*E55</f>
        <v>7960000</v>
      </c>
      <c r="G55" s="33" t="s">
        <v>54</v>
      </c>
      <c r="H55" s="33" t="str">
        <f aca="false">INDEX(Products!$C$2:$C$51,MATCH(C55,Products!$B$2:$B$51,0))</f>
        <v>Heritage</v>
      </c>
    </row>
    <row r="56" customFormat="false" ht="15" hidden="false" customHeight="false" outlineLevel="0" collapsed="false">
      <c r="A56" s="32" t="n">
        <v>45812</v>
      </c>
      <c r="B56" s="33" t="s">
        <v>49</v>
      </c>
      <c r="C56" s="33" t="s">
        <v>101</v>
      </c>
      <c r="D56" s="34" t="n">
        <v>328000</v>
      </c>
      <c r="E56" s="33" t="n">
        <v>21</v>
      </c>
      <c r="F56" s="34" t="n">
        <f aca="false">D56*E56</f>
        <v>6888000</v>
      </c>
      <c r="G56" s="33" t="s">
        <v>54</v>
      </c>
      <c r="H56" s="33" t="str">
        <f aca="false">INDEX(Products!$C$2:$C$51,MATCH(C56,Products!$B$2:$B$51,0))</f>
        <v>Cafe Racer</v>
      </c>
    </row>
    <row r="57" customFormat="false" ht="15" hidden="false" customHeight="false" outlineLevel="0" collapsed="false">
      <c r="A57" s="32" t="n">
        <v>45812</v>
      </c>
      <c r="B57" s="33" t="s">
        <v>49</v>
      </c>
      <c r="C57" s="33" t="s">
        <v>52</v>
      </c>
      <c r="D57" s="34" t="n">
        <v>398000</v>
      </c>
      <c r="E57" s="33" t="n">
        <v>36</v>
      </c>
      <c r="F57" s="34" t="n">
        <f aca="false">D57*E57</f>
        <v>14328000</v>
      </c>
      <c r="G57" s="33" t="s">
        <v>50</v>
      </c>
      <c r="H57" s="33" t="str">
        <f aca="false">INDEX(Products!$C$2:$C$51,MATCH(C57,Products!$B$2:$B$51,0))</f>
        <v>Cruiser</v>
      </c>
    </row>
    <row r="58" customFormat="false" ht="15" hidden="false" customHeight="false" outlineLevel="0" collapsed="false">
      <c r="A58" s="32" t="n">
        <v>45812</v>
      </c>
      <c r="B58" s="33" t="s">
        <v>53</v>
      </c>
      <c r="C58" s="33" t="s">
        <v>122</v>
      </c>
      <c r="D58" s="34" t="n">
        <v>80900</v>
      </c>
      <c r="E58" s="33" t="n">
        <v>14</v>
      </c>
      <c r="F58" s="34" t="n">
        <f aca="false">D58*E58</f>
        <v>1132600</v>
      </c>
      <c r="G58" s="33" t="s">
        <v>54</v>
      </c>
      <c r="H58" s="33" t="str">
        <f aca="false">INDEX(Products!$C$2:$C$51,MATCH(C58,Products!$B$2:$B$51,0))</f>
        <v>Scooter</v>
      </c>
    </row>
    <row r="59" customFormat="false" ht="15" hidden="false" customHeight="false" outlineLevel="0" collapsed="false">
      <c r="A59" s="32" t="n">
        <v>45812</v>
      </c>
      <c r="B59" s="33" t="s">
        <v>49</v>
      </c>
      <c r="C59" s="33" t="s">
        <v>119</v>
      </c>
      <c r="D59" s="34" t="n">
        <v>128000</v>
      </c>
      <c r="E59" s="33" t="n">
        <v>7</v>
      </c>
      <c r="F59" s="34" t="n">
        <f aca="false">D59*E59</f>
        <v>896000</v>
      </c>
      <c r="G59" s="33" t="s">
        <v>57</v>
      </c>
      <c r="H59" s="33" t="str">
        <f aca="false">INDEX(Products!$C$2:$C$51,MATCH(C59,Products!$B$2:$B$51,0))</f>
        <v>Scooter</v>
      </c>
    </row>
    <row r="60" customFormat="false" ht="15" hidden="false" customHeight="false" outlineLevel="0" collapsed="false">
      <c r="A60" s="32" t="n">
        <v>45812</v>
      </c>
      <c r="B60" s="33" t="s">
        <v>49</v>
      </c>
      <c r="C60" s="33" t="s">
        <v>120</v>
      </c>
      <c r="D60" s="34" t="n">
        <v>124000</v>
      </c>
      <c r="E60" s="33" t="n">
        <v>2</v>
      </c>
      <c r="F60" s="34" t="n">
        <f aca="false">D60*E60</f>
        <v>248000</v>
      </c>
      <c r="G60" s="33" t="s">
        <v>50</v>
      </c>
      <c r="H60" s="33" t="str">
        <f aca="false">INDEX(Products!$C$2:$C$51,MATCH(C60,Products!$B$2:$B$51,0))</f>
        <v>Scooter</v>
      </c>
    </row>
    <row r="61" customFormat="false" ht="15" hidden="false" customHeight="false" outlineLevel="0" collapsed="false">
      <c r="A61" s="32" t="n">
        <v>45812</v>
      </c>
      <c r="B61" s="33" t="s">
        <v>53</v>
      </c>
      <c r="C61" s="33" t="s">
        <v>120</v>
      </c>
      <c r="D61" s="34" t="n">
        <v>124000</v>
      </c>
      <c r="E61" s="33" t="n">
        <v>14</v>
      </c>
      <c r="F61" s="34" t="n">
        <f aca="false">D61*E61</f>
        <v>1736000</v>
      </c>
      <c r="G61" s="33" t="s">
        <v>50</v>
      </c>
      <c r="H61" s="33" t="str">
        <f aca="false">INDEX(Products!$C$2:$C$51,MATCH(C61,Products!$B$2:$B$51,0))</f>
        <v>Scooter</v>
      </c>
    </row>
    <row r="62" customFormat="false" ht="15" hidden="false" customHeight="false" outlineLevel="0" collapsed="false">
      <c r="A62" s="32" t="n">
        <v>45813</v>
      </c>
      <c r="B62" s="33" t="s">
        <v>53</v>
      </c>
      <c r="C62" s="33" t="s">
        <v>63</v>
      </c>
      <c r="D62" s="34" t="n">
        <v>99900</v>
      </c>
      <c r="E62" s="33" t="n">
        <v>17</v>
      </c>
      <c r="F62" s="34" t="n">
        <f aca="false">D62*E62</f>
        <v>1698300</v>
      </c>
      <c r="G62" s="33" t="s">
        <v>50</v>
      </c>
      <c r="H62" s="33" t="str">
        <f aca="false">INDEX(Products!$C$2:$C$51,MATCH(C62,Products!$B$2:$B$51,0))</f>
        <v>Street</v>
      </c>
    </row>
    <row r="63" customFormat="false" ht="15" hidden="false" customHeight="false" outlineLevel="0" collapsed="false">
      <c r="A63" s="32" t="n">
        <v>45813</v>
      </c>
      <c r="B63" s="33" t="s">
        <v>53</v>
      </c>
      <c r="C63" s="33" t="s">
        <v>120</v>
      </c>
      <c r="D63" s="34" t="n">
        <v>124000</v>
      </c>
      <c r="E63" s="33" t="n">
        <v>29</v>
      </c>
      <c r="F63" s="34" t="n">
        <f aca="false">D63*E63</f>
        <v>3596000</v>
      </c>
      <c r="G63" s="33" t="s">
        <v>57</v>
      </c>
      <c r="H63" s="33" t="str">
        <f aca="false">INDEX(Products!$C$2:$C$51,MATCH(C63,Products!$B$2:$B$51,0))</f>
        <v>Scooter</v>
      </c>
    </row>
    <row r="64" customFormat="false" ht="15" hidden="false" customHeight="false" outlineLevel="0" collapsed="false">
      <c r="A64" s="32" t="n">
        <v>45813</v>
      </c>
      <c r="B64" s="33" t="s">
        <v>49</v>
      </c>
      <c r="C64" s="33" t="s">
        <v>62</v>
      </c>
      <c r="D64" s="34" t="n">
        <v>650000</v>
      </c>
      <c r="E64" s="33" t="n">
        <v>20</v>
      </c>
      <c r="F64" s="34" t="n">
        <f aca="false">D64*E64</f>
        <v>13000000</v>
      </c>
      <c r="G64" s="33" t="s">
        <v>57</v>
      </c>
      <c r="H64" s="33" t="str">
        <f aca="false">INDEX(Products!$C$2:$C$51,MATCH(C64,Products!$B$2:$B$51,0))</f>
        <v>Cruiser</v>
      </c>
    </row>
    <row r="65" customFormat="false" ht="15" hidden="false" customHeight="false" outlineLevel="0" collapsed="false">
      <c r="A65" s="32" t="n">
        <v>45813</v>
      </c>
      <c r="B65" s="33" t="s">
        <v>53</v>
      </c>
      <c r="C65" s="33" t="s">
        <v>60</v>
      </c>
      <c r="D65" s="34" t="n">
        <v>599000</v>
      </c>
      <c r="E65" s="33" t="n">
        <v>34</v>
      </c>
      <c r="F65" s="34" t="n">
        <f aca="false">D65*E65</f>
        <v>20366000</v>
      </c>
      <c r="G65" s="33" t="s">
        <v>54</v>
      </c>
      <c r="H65" s="33" t="str">
        <f aca="false">INDEX(Products!$C$2:$C$51,MATCH(C65,Products!$B$2:$B$51,0))</f>
        <v>Naked Bike</v>
      </c>
    </row>
    <row r="66" customFormat="false" ht="15" hidden="false" customHeight="false" outlineLevel="0" collapsed="false">
      <c r="A66" s="32" t="n">
        <v>45813</v>
      </c>
      <c r="B66" s="33" t="s">
        <v>53</v>
      </c>
      <c r="C66" s="33" t="s">
        <v>52</v>
      </c>
      <c r="D66" s="34" t="n">
        <v>398000</v>
      </c>
      <c r="E66" s="33" t="n">
        <v>28</v>
      </c>
      <c r="F66" s="34" t="n">
        <f aca="false">D66*E66</f>
        <v>11144000</v>
      </c>
      <c r="G66" s="33" t="s">
        <v>50</v>
      </c>
      <c r="H66" s="33" t="str">
        <f aca="false">INDEX(Products!$C$2:$C$51,MATCH(C66,Products!$B$2:$B$51,0))</f>
        <v>Cruiser</v>
      </c>
    </row>
    <row r="67" customFormat="false" ht="15" hidden="false" customHeight="false" outlineLevel="0" collapsed="false">
      <c r="A67" s="32" t="n">
        <v>45813</v>
      </c>
      <c r="B67" s="33" t="s">
        <v>53</v>
      </c>
      <c r="C67" s="33" t="s">
        <v>122</v>
      </c>
      <c r="D67" s="34" t="n">
        <v>80900</v>
      </c>
      <c r="E67" s="33" t="n">
        <v>14</v>
      </c>
      <c r="F67" s="34" t="n">
        <f aca="false">D67*E67</f>
        <v>1132600</v>
      </c>
      <c r="G67" s="33" t="s">
        <v>56</v>
      </c>
      <c r="H67" s="33" t="str">
        <f aca="false">INDEX(Products!$C$2:$C$51,MATCH(C67,Products!$B$2:$B$51,0))</f>
        <v>Scooter</v>
      </c>
    </row>
    <row r="68" customFormat="false" ht="15" hidden="false" customHeight="false" outlineLevel="0" collapsed="false">
      <c r="A68" s="32" t="n">
        <v>45813</v>
      </c>
      <c r="B68" s="33" t="s">
        <v>49</v>
      </c>
      <c r="C68" s="33" t="s">
        <v>122</v>
      </c>
      <c r="D68" s="34" t="n">
        <v>80900</v>
      </c>
      <c r="E68" s="33" t="n">
        <v>28</v>
      </c>
      <c r="F68" s="34" t="n">
        <f aca="false">D68*E68</f>
        <v>2265200</v>
      </c>
      <c r="G68" s="33" t="s">
        <v>54</v>
      </c>
      <c r="H68" s="33" t="str">
        <f aca="false">INDEX(Products!$C$2:$C$51,MATCH(C68,Products!$B$2:$B$51,0))</f>
        <v>Scooter</v>
      </c>
    </row>
    <row r="69" customFormat="false" ht="15" hidden="false" customHeight="false" outlineLevel="0" collapsed="false">
      <c r="A69" s="32" t="n">
        <v>45813</v>
      </c>
      <c r="B69" s="33" t="s">
        <v>53</v>
      </c>
      <c r="C69" s="33" t="s">
        <v>68</v>
      </c>
      <c r="D69" s="34" t="n">
        <v>389000</v>
      </c>
      <c r="E69" s="33" t="n">
        <v>23</v>
      </c>
      <c r="F69" s="34" t="n">
        <f aca="false">D69*E69</f>
        <v>8947000</v>
      </c>
      <c r="G69" s="33" t="s">
        <v>57</v>
      </c>
      <c r="H69" s="33" t="str">
        <f aca="false">INDEX(Products!$C$2:$C$51,MATCH(C69,Products!$B$2:$B$51,0))</f>
        <v>Sport</v>
      </c>
    </row>
    <row r="70" customFormat="false" ht="15" hidden="false" customHeight="false" outlineLevel="0" collapsed="false">
      <c r="A70" s="32" t="n">
        <v>45813</v>
      </c>
      <c r="B70" s="33" t="s">
        <v>49</v>
      </c>
      <c r="C70" s="33" t="s">
        <v>125</v>
      </c>
      <c r="D70" s="34" t="n">
        <v>340000</v>
      </c>
      <c r="E70" s="33" t="n">
        <v>5</v>
      </c>
      <c r="F70" s="34" t="n">
        <f aca="false">D70*E70</f>
        <v>1700000</v>
      </c>
      <c r="G70" s="33" t="s">
        <v>54</v>
      </c>
      <c r="H70" s="33" t="str">
        <f aca="false">INDEX(Products!$C$2:$C$51,MATCH(C70,Products!$B$2:$B$51,0))</f>
        <v>Sport</v>
      </c>
    </row>
    <row r="71" customFormat="false" ht="15" hidden="false" customHeight="false" outlineLevel="0" collapsed="false">
      <c r="A71" s="32" t="n">
        <v>45813</v>
      </c>
      <c r="B71" s="33" t="s">
        <v>49</v>
      </c>
      <c r="C71" s="33" t="s">
        <v>108</v>
      </c>
      <c r="D71" s="34" t="n">
        <v>331000</v>
      </c>
      <c r="E71" s="33" t="n">
        <v>35</v>
      </c>
      <c r="F71" s="34" t="n">
        <f aca="false">D71*E71</f>
        <v>11585000</v>
      </c>
      <c r="G71" s="33" t="s">
        <v>57</v>
      </c>
      <c r="H71" s="33" t="str">
        <f aca="false">INDEX(Products!$C$2:$C$51,MATCH(C71,Products!$B$2:$B$51,0))</f>
        <v>Naked Bike</v>
      </c>
    </row>
    <row r="72" customFormat="false" ht="15" hidden="false" customHeight="false" outlineLevel="0" collapsed="false">
      <c r="A72" s="32" t="n">
        <v>45813</v>
      </c>
      <c r="B72" s="33" t="s">
        <v>53</v>
      </c>
      <c r="C72" s="33" t="s">
        <v>130</v>
      </c>
      <c r="D72" s="34" t="n">
        <v>119900</v>
      </c>
      <c r="E72" s="33" t="n">
        <v>20</v>
      </c>
      <c r="F72" s="34" t="n">
        <f aca="false">D72*E72</f>
        <v>2398000</v>
      </c>
      <c r="G72" s="33" t="s">
        <v>54</v>
      </c>
      <c r="H72" s="33" t="str">
        <f aca="false">INDEX(Products!$C$2:$C$51,MATCH(C72,Products!$B$2:$B$51,0))</f>
        <v>Underbone</v>
      </c>
    </row>
    <row r="73" customFormat="false" ht="15" hidden="false" customHeight="false" outlineLevel="0" collapsed="false">
      <c r="A73" s="32" t="n">
        <v>45813</v>
      </c>
      <c r="B73" s="33" t="s">
        <v>49</v>
      </c>
      <c r="C73" s="33" t="s">
        <v>52</v>
      </c>
      <c r="D73" s="34" t="n">
        <v>398000</v>
      </c>
      <c r="E73" s="33" t="n">
        <v>13</v>
      </c>
      <c r="F73" s="34" t="n">
        <f aca="false">D73*E73</f>
        <v>5174000</v>
      </c>
      <c r="G73" s="33" t="s">
        <v>54</v>
      </c>
      <c r="H73" s="33" t="str">
        <f aca="false">INDEX(Products!$C$2:$C$51,MATCH(C73,Products!$B$2:$B$51,0))</f>
        <v>Cruiser</v>
      </c>
    </row>
    <row r="74" customFormat="false" ht="15" hidden="false" customHeight="false" outlineLevel="0" collapsed="false">
      <c r="A74" s="32" t="n">
        <v>45813</v>
      </c>
      <c r="B74" s="33" t="s">
        <v>49</v>
      </c>
      <c r="C74" s="33" t="s">
        <v>66</v>
      </c>
      <c r="D74" s="34" t="n">
        <v>398000</v>
      </c>
      <c r="E74" s="33" t="n">
        <v>4</v>
      </c>
      <c r="F74" s="34" t="n">
        <f aca="false">D74*E74</f>
        <v>1592000</v>
      </c>
      <c r="G74" s="33" t="s">
        <v>54</v>
      </c>
      <c r="H74" s="33" t="str">
        <f aca="false">INDEX(Products!$C$2:$C$51,MATCH(C74,Products!$B$2:$B$51,0))</f>
        <v>Scooter</v>
      </c>
    </row>
    <row r="75" customFormat="false" ht="15" hidden="false" customHeight="false" outlineLevel="0" collapsed="false">
      <c r="A75" s="32" t="n">
        <v>45814</v>
      </c>
      <c r="B75" s="33" t="s">
        <v>49</v>
      </c>
      <c r="C75" s="33" t="s">
        <v>130</v>
      </c>
      <c r="D75" s="34" t="n">
        <v>119900</v>
      </c>
      <c r="E75" s="33" t="n">
        <v>7</v>
      </c>
      <c r="F75" s="34" t="n">
        <f aca="false">D75*E75</f>
        <v>839300</v>
      </c>
      <c r="G75" s="33" t="s">
        <v>50</v>
      </c>
      <c r="H75" s="33" t="str">
        <f aca="false">INDEX(Products!$C$2:$C$51,MATCH(C75,Products!$B$2:$B$51,0))</f>
        <v>Underbone</v>
      </c>
    </row>
    <row r="76" customFormat="false" ht="15" hidden="false" customHeight="false" outlineLevel="0" collapsed="false">
      <c r="A76" s="32" t="n">
        <v>45814</v>
      </c>
      <c r="B76" s="33" t="s">
        <v>49</v>
      </c>
      <c r="C76" s="33" t="s">
        <v>70</v>
      </c>
      <c r="D76" s="34" t="n">
        <v>320000</v>
      </c>
      <c r="E76" s="33" t="n">
        <v>4</v>
      </c>
      <c r="F76" s="34" t="n">
        <f aca="false">D76*E76</f>
        <v>1280000</v>
      </c>
      <c r="G76" s="33" t="s">
        <v>50</v>
      </c>
      <c r="H76" s="33" t="str">
        <f aca="false">INDEX(Products!$C$2:$C$51,MATCH(C76,Products!$B$2:$B$51,0))</f>
        <v>Adventure</v>
      </c>
    </row>
    <row r="77" customFormat="false" ht="15" hidden="false" customHeight="false" outlineLevel="0" collapsed="false">
      <c r="A77" s="32" t="n">
        <v>45814</v>
      </c>
      <c r="B77" s="33" t="s">
        <v>53</v>
      </c>
      <c r="C77" s="33" t="s">
        <v>108</v>
      </c>
      <c r="D77" s="34" t="n">
        <v>331000</v>
      </c>
      <c r="E77" s="33" t="n">
        <v>3</v>
      </c>
      <c r="F77" s="34" t="n">
        <f aca="false">D77*E77</f>
        <v>993000</v>
      </c>
      <c r="G77" s="33" t="s">
        <v>50</v>
      </c>
      <c r="H77" s="33" t="str">
        <f aca="false">INDEX(Products!$C$2:$C$51,MATCH(C77,Products!$B$2:$B$51,0))</f>
        <v>Naked Bike</v>
      </c>
    </row>
    <row r="78" customFormat="false" ht="15" hidden="false" customHeight="false" outlineLevel="0" collapsed="false">
      <c r="A78" s="32" t="n">
        <v>45814</v>
      </c>
      <c r="B78" s="33" t="s">
        <v>53</v>
      </c>
      <c r="C78" s="33" t="s">
        <v>116</v>
      </c>
      <c r="D78" s="34" t="n">
        <v>219000</v>
      </c>
      <c r="E78" s="33" t="n">
        <v>7</v>
      </c>
      <c r="F78" s="34" t="n">
        <f aca="false">D78*E78</f>
        <v>1533000</v>
      </c>
      <c r="G78" s="33" t="s">
        <v>57</v>
      </c>
      <c r="H78" s="33" t="str">
        <f aca="false">INDEX(Products!$C$2:$C$51,MATCH(C78,Products!$B$2:$B$51,0))</f>
        <v>Scooter</v>
      </c>
    </row>
    <row r="79" customFormat="false" ht="15" hidden="false" customHeight="false" outlineLevel="0" collapsed="false">
      <c r="A79" s="32" t="n">
        <v>45814</v>
      </c>
      <c r="B79" s="33" t="s">
        <v>53</v>
      </c>
      <c r="C79" s="33" t="s">
        <v>130</v>
      </c>
      <c r="D79" s="34" t="n">
        <v>119900</v>
      </c>
      <c r="E79" s="33" t="n">
        <v>5</v>
      </c>
      <c r="F79" s="34" t="n">
        <f aca="false">D79*E79</f>
        <v>599500</v>
      </c>
      <c r="G79" s="33" t="s">
        <v>54</v>
      </c>
      <c r="H79" s="33" t="str">
        <f aca="false">INDEX(Products!$C$2:$C$51,MATCH(C79,Products!$B$2:$B$51,0))</f>
        <v>Underbone</v>
      </c>
    </row>
    <row r="80" customFormat="false" ht="15" hidden="false" customHeight="false" outlineLevel="0" collapsed="false">
      <c r="A80" s="32" t="n">
        <v>45814</v>
      </c>
      <c r="B80" s="33" t="s">
        <v>53</v>
      </c>
      <c r="C80" s="33" t="s">
        <v>100</v>
      </c>
      <c r="D80" s="34" t="n">
        <v>78900</v>
      </c>
      <c r="E80" s="33" t="n">
        <v>8</v>
      </c>
      <c r="F80" s="34" t="n">
        <f aca="false">D80*E80</f>
        <v>631200</v>
      </c>
      <c r="G80" s="33" t="s">
        <v>57</v>
      </c>
      <c r="H80" s="33" t="str">
        <f aca="false">INDEX(Products!$C$2:$C$51,MATCH(C80,Products!$B$2:$B$51,0))</f>
        <v>Adventure</v>
      </c>
    </row>
    <row r="81" customFormat="false" ht="15" hidden="false" customHeight="false" outlineLevel="0" collapsed="false">
      <c r="A81" s="32" t="n">
        <v>45814</v>
      </c>
      <c r="B81" s="33" t="s">
        <v>49</v>
      </c>
      <c r="C81" s="33" t="s">
        <v>64</v>
      </c>
      <c r="D81" s="34" t="n">
        <v>248000</v>
      </c>
      <c r="E81" s="33" t="n">
        <v>10</v>
      </c>
      <c r="F81" s="34" t="n">
        <f aca="false">D81*E81</f>
        <v>2480000</v>
      </c>
      <c r="G81" s="33" t="s">
        <v>57</v>
      </c>
      <c r="H81" s="33" t="str">
        <f aca="false">INDEX(Products!$C$2:$C$51,MATCH(C81,Products!$B$2:$B$51,0))</f>
        <v>Adventure</v>
      </c>
    </row>
    <row r="82" customFormat="false" ht="15" hidden="false" customHeight="false" outlineLevel="0" collapsed="false">
      <c r="A82" s="32" t="n">
        <v>45814</v>
      </c>
      <c r="B82" s="33" t="s">
        <v>49</v>
      </c>
      <c r="C82" s="33" t="s">
        <v>100</v>
      </c>
      <c r="D82" s="34" t="n">
        <v>78900</v>
      </c>
      <c r="E82" s="33" t="n">
        <v>36</v>
      </c>
      <c r="F82" s="34" t="n">
        <f aca="false">D82*E82</f>
        <v>2840400</v>
      </c>
      <c r="G82" s="33" t="s">
        <v>50</v>
      </c>
      <c r="H82" s="33" t="str">
        <f aca="false">INDEX(Products!$C$2:$C$51,MATCH(C82,Products!$B$2:$B$51,0))</f>
        <v>Adventure</v>
      </c>
    </row>
    <row r="83" customFormat="false" ht="15" hidden="false" customHeight="false" outlineLevel="0" collapsed="false">
      <c r="A83" s="32" t="n">
        <v>45814</v>
      </c>
      <c r="B83" s="33" t="s">
        <v>49</v>
      </c>
      <c r="C83" s="33" t="s">
        <v>116</v>
      </c>
      <c r="D83" s="34" t="n">
        <v>219000</v>
      </c>
      <c r="E83" s="33" t="n">
        <v>4</v>
      </c>
      <c r="F83" s="34" t="n">
        <f aca="false">D83*E83</f>
        <v>876000</v>
      </c>
      <c r="G83" s="33" t="s">
        <v>57</v>
      </c>
      <c r="H83" s="33" t="str">
        <f aca="false">INDEX(Products!$C$2:$C$51,MATCH(C83,Products!$B$2:$B$51,0))</f>
        <v>Scooter</v>
      </c>
    </row>
    <row r="84" customFormat="false" ht="15" hidden="false" customHeight="false" outlineLevel="0" collapsed="false">
      <c r="A84" s="32" t="n">
        <v>45814</v>
      </c>
      <c r="B84" s="33" t="s">
        <v>49</v>
      </c>
      <c r="C84" s="33" t="s">
        <v>113</v>
      </c>
      <c r="D84" s="34" t="n">
        <v>182000</v>
      </c>
      <c r="E84" s="33" t="n">
        <v>20</v>
      </c>
      <c r="F84" s="34" t="n">
        <f aca="false">D84*E84</f>
        <v>3640000</v>
      </c>
      <c r="G84" s="33" t="s">
        <v>54</v>
      </c>
      <c r="H84" s="33" t="str">
        <f aca="false">INDEX(Products!$C$2:$C$51,MATCH(C84,Products!$B$2:$B$51,0))</f>
        <v>Retro</v>
      </c>
    </row>
    <row r="85" customFormat="false" ht="15" hidden="false" customHeight="false" outlineLevel="0" collapsed="false">
      <c r="A85" s="32" t="n">
        <v>45814</v>
      </c>
      <c r="B85" s="33" t="s">
        <v>53</v>
      </c>
      <c r="C85" s="33" t="s">
        <v>67</v>
      </c>
      <c r="D85" s="34" t="n">
        <v>250000</v>
      </c>
      <c r="E85" s="33" t="n">
        <v>33</v>
      </c>
      <c r="F85" s="34" t="n">
        <f aca="false">D85*E85</f>
        <v>8250000</v>
      </c>
      <c r="G85" s="33" t="s">
        <v>54</v>
      </c>
      <c r="H85" s="33" t="str">
        <f aca="false">INDEX(Products!$C$2:$C$51,MATCH(C85,Products!$B$2:$B$51,0))</f>
        <v>Classic</v>
      </c>
    </row>
    <row r="86" customFormat="false" ht="15" hidden="false" customHeight="false" outlineLevel="0" collapsed="false">
      <c r="A86" s="32" t="n">
        <v>45814</v>
      </c>
      <c r="B86" s="33" t="s">
        <v>49</v>
      </c>
      <c r="C86" s="33" t="s">
        <v>63</v>
      </c>
      <c r="D86" s="34" t="n">
        <v>99900</v>
      </c>
      <c r="E86" s="33" t="n">
        <v>13</v>
      </c>
      <c r="F86" s="34" t="n">
        <f aca="false">D86*E86</f>
        <v>1298700</v>
      </c>
      <c r="G86" s="33" t="s">
        <v>57</v>
      </c>
      <c r="H86" s="33" t="str">
        <f aca="false">INDEX(Products!$C$2:$C$51,MATCH(C86,Products!$B$2:$B$51,0))</f>
        <v>Street</v>
      </c>
    </row>
    <row r="87" customFormat="false" ht="15" hidden="false" customHeight="false" outlineLevel="0" collapsed="false">
      <c r="A87" s="32" t="n">
        <v>45815</v>
      </c>
      <c r="B87" s="33" t="s">
        <v>49</v>
      </c>
      <c r="C87" s="33" t="s">
        <v>68</v>
      </c>
      <c r="D87" s="34" t="n">
        <v>389000</v>
      </c>
      <c r="E87" s="33" t="n">
        <v>11</v>
      </c>
      <c r="F87" s="34" t="n">
        <f aca="false">D87*E87</f>
        <v>4279000</v>
      </c>
      <c r="G87" s="33" t="s">
        <v>54</v>
      </c>
      <c r="H87" s="33" t="str">
        <f aca="false">INDEX(Products!$C$2:$C$51,MATCH(C87,Products!$B$2:$B$51,0))</f>
        <v>Sport</v>
      </c>
    </row>
    <row r="88" customFormat="false" ht="15" hidden="false" customHeight="false" outlineLevel="0" collapsed="false">
      <c r="A88" s="32" t="n">
        <v>45815</v>
      </c>
      <c r="B88" s="33" t="s">
        <v>53</v>
      </c>
      <c r="C88" s="33" t="s">
        <v>66</v>
      </c>
      <c r="D88" s="34" t="n">
        <v>398000</v>
      </c>
      <c r="E88" s="33" t="n">
        <v>20</v>
      </c>
      <c r="F88" s="34" t="n">
        <f aca="false">D88*E88</f>
        <v>7960000</v>
      </c>
      <c r="G88" s="33" t="s">
        <v>57</v>
      </c>
      <c r="H88" s="33" t="str">
        <f aca="false">INDEX(Products!$C$2:$C$51,MATCH(C88,Products!$B$2:$B$51,0))</f>
        <v>Scooter</v>
      </c>
    </row>
    <row r="89" customFormat="false" ht="15" hidden="false" customHeight="false" outlineLevel="0" collapsed="false">
      <c r="A89" s="32" t="n">
        <v>45815</v>
      </c>
      <c r="B89" s="33" t="s">
        <v>49</v>
      </c>
      <c r="C89" s="33" t="s">
        <v>125</v>
      </c>
      <c r="D89" s="34" t="n">
        <v>340000</v>
      </c>
      <c r="E89" s="33" t="n">
        <v>5</v>
      </c>
      <c r="F89" s="34" t="n">
        <f aca="false">D89*E89</f>
        <v>1700000</v>
      </c>
      <c r="G89" s="33" t="s">
        <v>50</v>
      </c>
      <c r="H89" s="33" t="str">
        <f aca="false">INDEX(Products!$C$2:$C$51,MATCH(C89,Products!$B$2:$B$51,0))</f>
        <v>Sport</v>
      </c>
    </row>
    <row r="90" customFormat="false" ht="15" hidden="false" customHeight="false" outlineLevel="0" collapsed="false">
      <c r="A90" s="32" t="n">
        <v>45815</v>
      </c>
      <c r="B90" s="33" t="s">
        <v>49</v>
      </c>
      <c r="C90" s="33" t="s">
        <v>66</v>
      </c>
      <c r="D90" s="34" t="n">
        <v>398000</v>
      </c>
      <c r="E90" s="33" t="n">
        <v>20</v>
      </c>
      <c r="F90" s="34" t="n">
        <f aca="false">D90*E90</f>
        <v>7960000</v>
      </c>
      <c r="G90" s="33" t="s">
        <v>50</v>
      </c>
      <c r="H90" s="33" t="str">
        <f aca="false">INDEX(Products!$C$2:$C$51,MATCH(C90,Products!$B$2:$B$51,0))</f>
        <v>Scooter</v>
      </c>
    </row>
    <row r="91" customFormat="false" ht="15" hidden="false" customHeight="false" outlineLevel="0" collapsed="false">
      <c r="A91" s="32" t="n">
        <v>45815</v>
      </c>
      <c r="B91" s="33" t="s">
        <v>49</v>
      </c>
      <c r="C91" s="33" t="s">
        <v>106</v>
      </c>
      <c r="D91" s="34" t="n">
        <v>284900</v>
      </c>
      <c r="E91" s="33" t="n">
        <v>2</v>
      </c>
      <c r="F91" s="34" t="n">
        <f aca="false">D91*E91</f>
        <v>569800</v>
      </c>
      <c r="G91" s="33" t="s">
        <v>54</v>
      </c>
      <c r="H91" s="33" t="str">
        <f aca="false">INDEX(Products!$C$2:$C$51,MATCH(C91,Products!$B$2:$B$51,0))</f>
        <v>Dual-Sport</v>
      </c>
    </row>
    <row r="92" customFormat="false" ht="15" hidden="false" customHeight="false" outlineLevel="0" collapsed="false">
      <c r="A92" s="32" t="n">
        <v>45815</v>
      </c>
      <c r="B92" s="33" t="s">
        <v>53</v>
      </c>
      <c r="C92" s="33" t="s">
        <v>52</v>
      </c>
      <c r="D92" s="34" t="n">
        <v>398000</v>
      </c>
      <c r="E92" s="33" t="n">
        <v>8</v>
      </c>
      <c r="F92" s="34" t="n">
        <f aca="false">D92*E92</f>
        <v>3184000</v>
      </c>
      <c r="G92" s="33" t="s">
        <v>57</v>
      </c>
      <c r="H92" s="33" t="str">
        <f aca="false">INDEX(Products!$C$2:$C$51,MATCH(C92,Products!$B$2:$B$51,0))</f>
        <v>Cruiser</v>
      </c>
    </row>
    <row r="93" customFormat="false" ht="15" hidden="false" customHeight="false" outlineLevel="0" collapsed="false">
      <c r="A93" s="32" t="n">
        <v>45815</v>
      </c>
      <c r="B93" s="33" t="s">
        <v>53</v>
      </c>
      <c r="C93" s="33" t="s">
        <v>103</v>
      </c>
      <c r="D93" s="34" t="n">
        <v>48000</v>
      </c>
      <c r="E93" s="33" t="n">
        <v>5</v>
      </c>
      <c r="F93" s="34" t="n">
        <f aca="false">D93*E93</f>
        <v>240000</v>
      </c>
      <c r="G93" s="33" t="s">
        <v>57</v>
      </c>
      <c r="H93" s="33" t="str">
        <f aca="false">INDEX(Products!$C$2:$C$51,MATCH(C93,Products!$B$2:$B$51,0))</f>
        <v>Commuter</v>
      </c>
    </row>
    <row r="94" customFormat="false" ht="15" hidden="false" customHeight="false" outlineLevel="0" collapsed="false">
      <c r="A94" s="32" t="n">
        <v>45815</v>
      </c>
      <c r="B94" s="33" t="s">
        <v>49</v>
      </c>
      <c r="C94" s="33" t="s">
        <v>119</v>
      </c>
      <c r="D94" s="34" t="n">
        <v>128000</v>
      </c>
      <c r="E94" s="33" t="n">
        <v>43</v>
      </c>
      <c r="F94" s="34" t="n">
        <f aca="false">D94*E94</f>
        <v>5504000</v>
      </c>
      <c r="G94" s="33" t="s">
        <v>54</v>
      </c>
      <c r="H94" s="33" t="str">
        <f aca="false">INDEX(Products!$C$2:$C$51,MATCH(C94,Products!$B$2:$B$51,0))</f>
        <v>Scooter</v>
      </c>
    </row>
    <row r="95" customFormat="false" ht="15" hidden="false" customHeight="false" outlineLevel="0" collapsed="false">
      <c r="A95" s="32" t="n">
        <v>45816</v>
      </c>
      <c r="B95" s="33" t="s">
        <v>49</v>
      </c>
      <c r="C95" s="33" t="s">
        <v>69</v>
      </c>
      <c r="D95" s="34" t="n">
        <v>164900</v>
      </c>
      <c r="E95" s="33" t="n">
        <v>48</v>
      </c>
      <c r="F95" s="34" t="n">
        <f aca="false">D95*E95</f>
        <v>7915200</v>
      </c>
      <c r="G95" s="33" t="s">
        <v>57</v>
      </c>
      <c r="H95" s="33" t="str">
        <f aca="false">INDEX(Products!$C$2:$C$51,MATCH(C95,Products!$B$2:$B$51,0))</f>
        <v>Scooter</v>
      </c>
    </row>
    <row r="96" customFormat="false" ht="15" hidden="false" customHeight="false" outlineLevel="0" collapsed="false">
      <c r="A96" s="32" t="n">
        <v>45816</v>
      </c>
      <c r="B96" s="33" t="s">
        <v>53</v>
      </c>
      <c r="C96" s="33" t="s">
        <v>67</v>
      </c>
      <c r="D96" s="34" t="n">
        <v>250000</v>
      </c>
      <c r="E96" s="33" t="n">
        <v>1</v>
      </c>
      <c r="F96" s="34" t="n">
        <f aca="false">D96*E96</f>
        <v>250000</v>
      </c>
      <c r="G96" s="33" t="s">
        <v>54</v>
      </c>
      <c r="H96" s="33" t="str">
        <f aca="false">INDEX(Products!$C$2:$C$51,MATCH(C96,Products!$B$2:$B$51,0))</f>
        <v>Classic</v>
      </c>
    </row>
    <row r="97" customFormat="false" ht="15" hidden="false" customHeight="false" outlineLevel="0" collapsed="false">
      <c r="A97" s="32" t="n">
        <v>45816</v>
      </c>
      <c r="B97" s="33" t="s">
        <v>49</v>
      </c>
      <c r="C97" s="33" t="s">
        <v>71</v>
      </c>
      <c r="D97" s="34" t="n">
        <v>165000</v>
      </c>
      <c r="E97" s="33" t="n">
        <v>4</v>
      </c>
      <c r="F97" s="34" t="n">
        <f aca="false">D97*E97</f>
        <v>660000</v>
      </c>
      <c r="G97" s="33" t="s">
        <v>50</v>
      </c>
      <c r="H97" s="33" t="str">
        <f aca="false">INDEX(Products!$C$2:$C$51,MATCH(C97,Products!$B$2:$B$51,0))</f>
        <v>Naked Bike</v>
      </c>
    </row>
    <row r="98" customFormat="false" ht="15" hidden="false" customHeight="false" outlineLevel="0" collapsed="false">
      <c r="A98" s="32" t="n">
        <v>45816</v>
      </c>
      <c r="B98" s="33" t="s">
        <v>53</v>
      </c>
      <c r="C98" s="33" t="s">
        <v>108</v>
      </c>
      <c r="D98" s="34" t="n">
        <v>331000</v>
      </c>
      <c r="E98" s="33" t="n">
        <v>11</v>
      </c>
      <c r="F98" s="34" t="n">
        <f aca="false">D98*E98</f>
        <v>3641000</v>
      </c>
      <c r="G98" s="33" t="s">
        <v>50</v>
      </c>
      <c r="H98" s="33" t="str">
        <f aca="false">INDEX(Products!$C$2:$C$51,MATCH(C98,Products!$B$2:$B$51,0))</f>
        <v>Naked Bike</v>
      </c>
    </row>
    <row r="99" customFormat="false" ht="15" hidden="false" customHeight="false" outlineLevel="0" collapsed="false">
      <c r="A99" s="32" t="n">
        <v>45816</v>
      </c>
      <c r="B99" s="33" t="s">
        <v>53</v>
      </c>
      <c r="C99" s="33" t="s">
        <v>123</v>
      </c>
      <c r="D99" s="34" t="n">
        <v>79900</v>
      </c>
      <c r="E99" s="33" t="n">
        <v>46</v>
      </c>
      <c r="F99" s="34" t="n">
        <f aca="false">D99*E99</f>
        <v>3675400</v>
      </c>
      <c r="G99" s="33" t="s">
        <v>57</v>
      </c>
      <c r="H99" s="33" t="str">
        <f aca="false">INDEX(Products!$C$2:$C$51,MATCH(C99,Products!$B$2:$B$51,0))</f>
        <v>Scooter</v>
      </c>
    </row>
    <row r="100" customFormat="false" ht="15" hidden="false" customHeight="false" outlineLevel="0" collapsed="false">
      <c r="A100" s="32" t="n">
        <v>45816</v>
      </c>
      <c r="B100" s="33" t="s">
        <v>53</v>
      </c>
      <c r="C100" s="33" t="s">
        <v>121</v>
      </c>
      <c r="D100" s="34" t="n">
        <v>80900</v>
      </c>
      <c r="E100" s="33" t="n">
        <v>5</v>
      </c>
      <c r="F100" s="34" t="n">
        <f aca="false">D100*E100</f>
        <v>404500</v>
      </c>
      <c r="G100" s="33" t="s">
        <v>54</v>
      </c>
      <c r="H100" s="33" t="str">
        <f aca="false">INDEX(Products!$C$2:$C$51,MATCH(C100,Products!$B$2:$B$51,0))</f>
        <v>Scooter</v>
      </c>
    </row>
    <row r="101" customFormat="false" ht="15" hidden="false" customHeight="false" outlineLevel="0" collapsed="false">
      <c r="A101" s="32" t="n">
        <v>45816</v>
      </c>
      <c r="B101" s="33" t="s">
        <v>53</v>
      </c>
      <c r="C101" s="33" t="s">
        <v>52</v>
      </c>
      <c r="D101" s="34" t="n">
        <v>398000</v>
      </c>
      <c r="E101" s="33" t="n">
        <v>1</v>
      </c>
      <c r="F101" s="34" t="n">
        <f aca="false">D101*E101</f>
        <v>398000</v>
      </c>
      <c r="G101" s="33" t="s">
        <v>54</v>
      </c>
      <c r="H101" s="33" t="str">
        <f aca="false">INDEX(Products!$C$2:$C$51,MATCH(C101,Products!$B$2:$B$51,0))</f>
        <v>Cruiser</v>
      </c>
    </row>
    <row r="102" customFormat="false" ht="15" hidden="false" customHeight="false" outlineLevel="0" collapsed="false">
      <c r="A102" s="32" t="n">
        <v>45816</v>
      </c>
      <c r="B102" s="33" t="s">
        <v>53</v>
      </c>
      <c r="C102" s="33" t="s">
        <v>59</v>
      </c>
      <c r="D102" s="34" t="n">
        <v>165000</v>
      </c>
      <c r="E102" s="33" t="n">
        <v>1</v>
      </c>
      <c r="F102" s="34" t="n">
        <f aca="false">D102*E102</f>
        <v>165000</v>
      </c>
      <c r="G102" s="33" t="s">
        <v>50</v>
      </c>
      <c r="H102" s="33" t="str">
        <f aca="false">INDEX(Products!$C$2:$C$51,MATCH(C102,Products!$B$2:$B$51,0))</f>
        <v>Sport</v>
      </c>
    </row>
    <row r="103" customFormat="false" ht="15" hidden="false" customHeight="false" outlineLevel="0" collapsed="false">
      <c r="A103" s="32" t="n">
        <v>45816</v>
      </c>
      <c r="B103" s="33" t="s">
        <v>49</v>
      </c>
      <c r="C103" s="33" t="s">
        <v>62</v>
      </c>
      <c r="D103" s="34" t="n">
        <v>650000</v>
      </c>
      <c r="E103" s="33" t="n">
        <v>21</v>
      </c>
      <c r="F103" s="34" t="n">
        <f aca="false">D103*E103</f>
        <v>13650000</v>
      </c>
      <c r="G103" s="33" t="s">
        <v>57</v>
      </c>
      <c r="H103" s="33" t="str">
        <f aca="false">INDEX(Products!$C$2:$C$51,MATCH(C103,Products!$B$2:$B$51,0))</f>
        <v>Cruiser</v>
      </c>
    </row>
    <row r="104" customFormat="false" ht="15" hidden="false" customHeight="false" outlineLevel="0" collapsed="false">
      <c r="A104" s="32" t="n">
        <v>45816</v>
      </c>
      <c r="B104" s="33" t="s">
        <v>49</v>
      </c>
      <c r="C104" s="33" t="s">
        <v>121</v>
      </c>
      <c r="D104" s="34" t="n">
        <v>80900</v>
      </c>
      <c r="E104" s="33" t="n">
        <v>18</v>
      </c>
      <c r="F104" s="34" t="n">
        <f aca="false">D104*E104</f>
        <v>1456200</v>
      </c>
      <c r="G104" s="33" t="s">
        <v>50</v>
      </c>
      <c r="H104" s="33" t="str">
        <f aca="false">INDEX(Products!$C$2:$C$51,MATCH(C104,Products!$B$2:$B$51,0))</f>
        <v>Scooter</v>
      </c>
    </row>
    <row r="105" customFormat="false" ht="15" hidden="false" customHeight="false" outlineLevel="0" collapsed="false">
      <c r="A105" s="32" t="n">
        <v>45816</v>
      </c>
      <c r="B105" s="33" t="s">
        <v>53</v>
      </c>
      <c r="C105" s="33" t="s">
        <v>99</v>
      </c>
      <c r="D105" s="34" t="n">
        <v>369000</v>
      </c>
      <c r="E105" s="33" t="n">
        <v>27</v>
      </c>
      <c r="F105" s="34" t="n">
        <f aca="false">D105*E105</f>
        <v>9963000</v>
      </c>
      <c r="G105" s="33" t="s">
        <v>57</v>
      </c>
      <c r="H105" s="33" t="str">
        <f aca="false">INDEX(Products!$C$2:$C$51,MATCH(C105,Products!$B$2:$B$51,0))</f>
        <v>Adventure</v>
      </c>
    </row>
    <row r="106" customFormat="false" ht="15" hidden="false" customHeight="false" outlineLevel="0" collapsed="false">
      <c r="A106" s="32" t="n">
        <v>45816</v>
      </c>
      <c r="B106" s="33" t="s">
        <v>49</v>
      </c>
      <c r="C106" s="33" t="s">
        <v>105</v>
      </c>
      <c r="D106" s="34" t="n">
        <v>349000</v>
      </c>
      <c r="E106" s="33" t="n">
        <v>19</v>
      </c>
      <c r="F106" s="34" t="n">
        <f aca="false">D106*E106</f>
        <v>6631000</v>
      </c>
      <c r="G106" s="33" t="s">
        <v>54</v>
      </c>
      <c r="H106" s="33" t="str">
        <f aca="false">INDEX(Products!$C$2:$C$51,MATCH(C106,Products!$B$2:$B$51,0))</f>
        <v>Cruiser</v>
      </c>
    </row>
    <row r="107" customFormat="false" ht="15" hidden="false" customHeight="false" outlineLevel="0" collapsed="false">
      <c r="A107" s="32" t="n">
        <v>45816</v>
      </c>
      <c r="B107" s="33" t="s">
        <v>53</v>
      </c>
      <c r="C107" s="33" t="s">
        <v>124</v>
      </c>
      <c r="D107" s="34" t="n">
        <v>295000</v>
      </c>
      <c r="E107" s="33" t="n">
        <v>15</v>
      </c>
      <c r="F107" s="34" t="n">
        <f aca="false">D107*E107</f>
        <v>4425000</v>
      </c>
      <c r="G107" s="33" t="s">
        <v>50</v>
      </c>
      <c r="H107" s="33" t="str">
        <f aca="false">INDEX(Products!$C$2:$C$51,MATCH(C107,Products!$B$2:$B$51,0))</f>
        <v>Scrambler</v>
      </c>
    </row>
    <row r="108" customFormat="false" ht="15" hidden="false" customHeight="false" outlineLevel="0" collapsed="false">
      <c r="A108" s="32" t="n">
        <v>45816</v>
      </c>
      <c r="B108" s="33" t="s">
        <v>49</v>
      </c>
      <c r="C108" s="33" t="s">
        <v>59</v>
      </c>
      <c r="D108" s="34" t="n">
        <v>165000</v>
      </c>
      <c r="E108" s="33" t="n">
        <v>15</v>
      </c>
      <c r="F108" s="34" t="n">
        <f aca="false">D108*E108</f>
        <v>2475000</v>
      </c>
      <c r="G108" s="33" t="s">
        <v>57</v>
      </c>
      <c r="H108" s="33" t="str">
        <f aca="false">INDEX(Products!$C$2:$C$51,MATCH(C108,Products!$B$2:$B$51,0))</f>
        <v>Sport</v>
      </c>
    </row>
    <row r="109" customFormat="false" ht="15" hidden="false" customHeight="false" outlineLevel="0" collapsed="false">
      <c r="A109" s="32" t="n">
        <v>45816</v>
      </c>
      <c r="B109" s="33" t="s">
        <v>53</v>
      </c>
      <c r="C109" s="33" t="s">
        <v>62</v>
      </c>
      <c r="D109" s="34" t="n">
        <v>650000</v>
      </c>
      <c r="E109" s="33" t="n">
        <v>5</v>
      </c>
      <c r="F109" s="34" t="n">
        <f aca="false">D109*E109</f>
        <v>3250000</v>
      </c>
      <c r="G109" s="33" t="s">
        <v>50</v>
      </c>
      <c r="H109" s="33" t="str">
        <f aca="false">INDEX(Products!$C$2:$C$51,MATCH(C109,Products!$B$2:$B$51,0))</f>
        <v>Cruiser</v>
      </c>
    </row>
    <row r="110" customFormat="false" ht="15" hidden="false" customHeight="false" outlineLevel="0" collapsed="false">
      <c r="A110" s="32" t="n">
        <v>45817</v>
      </c>
      <c r="B110" s="33" t="s">
        <v>49</v>
      </c>
      <c r="C110" s="33" t="s">
        <v>65</v>
      </c>
      <c r="D110" s="34" t="n">
        <v>345000</v>
      </c>
      <c r="E110" s="33" t="n">
        <v>13</v>
      </c>
      <c r="F110" s="34" t="n">
        <f aca="false">D110*E110</f>
        <v>4485000</v>
      </c>
      <c r="G110" s="33" t="s">
        <v>57</v>
      </c>
      <c r="H110" s="33" t="str">
        <f aca="false">INDEX(Products!$C$2:$C$51,MATCH(C110,Products!$B$2:$B$51,0))</f>
        <v>Touring</v>
      </c>
    </row>
    <row r="111" customFormat="false" ht="15" hidden="false" customHeight="false" outlineLevel="0" collapsed="false">
      <c r="A111" s="32" t="n">
        <v>45817</v>
      </c>
      <c r="B111" s="33" t="s">
        <v>49</v>
      </c>
      <c r="C111" s="33" t="s">
        <v>60</v>
      </c>
      <c r="D111" s="34" t="n">
        <v>599000</v>
      </c>
      <c r="E111" s="33" t="n">
        <v>14</v>
      </c>
      <c r="F111" s="34" t="n">
        <f aca="false">D111*E111</f>
        <v>8386000</v>
      </c>
      <c r="G111" s="33" t="s">
        <v>54</v>
      </c>
      <c r="H111" s="33" t="str">
        <f aca="false">INDEX(Products!$C$2:$C$51,MATCH(C111,Products!$B$2:$B$51,0))</f>
        <v>Naked Bike</v>
      </c>
    </row>
    <row r="112" customFormat="false" ht="15" hidden="false" customHeight="false" outlineLevel="0" collapsed="false">
      <c r="A112" s="32" t="n">
        <v>45817</v>
      </c>
      <c r="B112" s="33" t="s">
        <v>49</v>
      </c>
      <c r="C112" s="33" t="s">
        <v>120</v>
      </c>
      <c r="D112" s="34" t="n">
        <v>124000</v>
      </c>
      <c r="E112" s="33" t="n">
        <v>13</v>
      </c>
      <c r="F112" s="34" t="n">
        <f aca="false">D112*E112</f>
        <v>1612000</v>
      </c>
      <c r="G112" s="33" t="s">
        <v>57</v>
      </c>
      <c r="H112" s="33" t="str">
        <f aca="false">INDEX(Products!$C$2:$C$51,MATCH(C112,Products!$B$2:$B$51,0))</f>
        <v>Scooter</v>
      </c>
    </row>
    <row r="113" customFormat="false" ht="15" hidden="false" customHeight="false" outlineLevel="0" collapsed="false">
      <c r="A113" s="32" t="n">
        <v>45817</v>
      </c>
      <c r="B113" s="33" t="s">
        <v>49</v>
      </c>
      <c r="C113" s="33" t="s">
        <v>112</v>
      </c>
      <c r="D113" s="34" t="n">
        <v>125000</v>
      </c>
      <c r="E113" s="33" t="n">
        <v>8</v>
      </c>
      <c r="F113" s="34" t="n">
        <f aca="false">D113*E113</f>
        <v>1000000</v>
      </c>
      <c r="G113" s="33" t="s">
        <v>57</v>
      </c>
      <c r="H113" s="33" t="str">
        <f aca="false">INDEX(Products!$C$2:$C$51,MATCH(C113,Products!$B$2:$B$51,0))</f>
        <v>Naked Bike</v>
      </c>
    </row>
    <row r="114" customFormat="false" ht="15" hidden="false" customHeight="false" outlineLevel="0" collapsed="false">
      <c r="A114" s="32" t="n">
        <v>45817</v>
      </c>
      <c r="B114" s="33" t="s">
        <v>53</v>
      </c>
      <c r="C114" s="33" t="s">
        <v>58</v>
      </c>
      <c r="D114" s="34" t="n">
        <v>995000</v>
      </c>
      <c r="E114" s="33" t="n">
        <v>25</v>
      </c>
      <c r="F114" s="34" t="n">
        <f aca="false">D114*E114</f>
        <v>24875000</v>
      </c>
      <c r="G114" s="33" t="s">
        <v>50</v>
      </c>
      <c r="H114" s="33" t="str">
        <f aca="false">INDEX(Products!$C$2:$C$51,MATCH(C114,Products!$B$2:$B$51,0))</f>
        <v>Heritage</v>
      </c>
    </row>
    <row r="115" customFormat="false" ht="15" hidden="false" customHeight="false" outlineLevel="0" collapsed="false">
      <c r="A115" s="32" t="n">
        <v>45817</v>
      </c>
      <c r="B115" s="33" t="s">
        <v>53</v>
      </c>
      <c r="C115" s="33" t="s">
        <v>112</v>
      </c>
      <c r="D115" s="34" t="n">
        <v>125000</v>
      </c>
      <c r="E115" s="33" t="n">
        <v>17</v>
      </c>
      <c r="F115" s="34" t="n">
        <f aca="false">D115*E115</f>
        <v>2125000</v>
      </c>
      <c r="G115" s="33" t="s">
        <v>50</v>
      </c>
      <c r="H115" s="33" t="str">
        <f aca="false">INDEX(Products!$C$2:$C$51,MATCH(C115,Products!$B$2:$B$51,0))</f>
        <v>Naked Bike</v>
      </c>
    </row>
    <row r="116" customFormat="false" ht="15" hidden="false" customHeight="false" outlineLevel="0" collapsed="false">
      <c r="A116" s="32" t="n">
        <v>45817</v>
      </c>
      <c r="B116" s="33" t="s">
        <v>49</v>
      </c>
      <c r="C116" s="33" t="s">
        <v>68</v>
      </c>
      <c r="D116" s="34" t="n">
        <v>389000</v>
      </c>
      <c r="E116" s="33" t="n">
        <v>21</v>
      </c>
      <c r="F116" s="34" t="n">
        <f aca="false">D116*E116</f>
        <v>8169000</v>
      </c>
      <c r="G116" s="33" t="s">
        <v>57</v>
      </c>
      <c r="H116" s="33" t="str">
        <f aca="false">INDEX(Products!$C$2:$C$51,MATCH(C116,Products!$B$2:$B$51,0))</f>
        <v>Sport</v>
      </c>
    </row>
    <row r="117" customFormat="false" ht="15" hidden="false" customHeight="false" outlineLevel="0" collapsed="false">
      <c r="A117" s="32" t="n">
        <v>45817</v>
      </c>
      <c r="B117" s="33" t="s">
        <v>49</v>
      </c>
      <c r="C117" s="33" t="s">
        <v>119</v>
      </c>
      <c r="D117" s="34" t="n">
        <v>128000</v>
      </c>
      <c r="E117" s="33" t="n">
        <v>3</v>
      </c>
      <c r="F117" s="34" t="n">
        <f aca="false">D117*E117</f>
        <v>384000</v>
      </c>
      <c r="G117" s="33" t="s">
        <v>50</v>
      </c>
      <c r="H117" s="33" t="str">
        <f aca="false">INDEX(Products!$C$2:$C$51,MATCH(C117,Products!$B$2:$B$51,0))</f>
        <v>Scooter</v>
      </c>
    </row>
    <row r="118" customFormat="false" ht="15" hidden="false" customHeight="false" outlineLevel="0" collapsed="false">
      <c r="A118" s="32" t="n">
        <v>45817</v>
      </c>
      <c r="B118" s="33" t="s">
        <v>53</v>
      </c>
      <c r="C118" s="33" t="s">
        <v>70</v>
      </c>
      <c r="D118" s="34" t="n">
        <v>320000</v>
      </c>
      <c r="E118" s="33" t="n">
        <v>20</v>
      </c>
      <c r="F118" s="34" t="n">
        <f aca="false">D118*E118</f>
        <v>6400000</v>
      </c>
      <c r="G118" s="33" t="s">
        <v>50</v>
      </c>
      <c r="H118" s="33" t="str">
        <f aca="false">INDEX(Products!$C$2:$C$51,MATCH(C118,Products!$B$2:$B$51,0))</f>
        <v>Adventure</v>
      </c>
    </row>
    <row r="119" customFormat="false" ht="15" hidden="false" customHeight="false" outlineLevel="0" collapsed="false">
      <c r="A119" s="32" t="n">
        <v>45817</v>
      </c>
      <c r="B119" s="33" t="s">
        <v>53</v>
      </c>
      <c r="C119" s="33" t="s">
        <v>131</v>
      </c>
      <c r="D119" s="34" t="n">
        <v>72900</v>
      </c>
      <c r="E119" s="33" t="n">
        <v>11</v>
      </c>
      <c r="F119" s="34" t="n">
        <f aca="false">D119*E119</f>
        <v>801900</v>
      </c>
      <c r="G119" s="33" t="s">
        <v>50</v>
      </c>
      <c r="H119" s="33" t="str">
        <f aca="false">INDEX(Products!$C$2:$C$51,MATCH(C119,Products!$B$2:$B$51,0))</f>
        <v>Underbone</v>
      </c>
    </row>
    <row r="120" customFormat="false" ht="15" hidden="false" customHeight="false" outlineLevel="0" collapsed="false">
      <c r="A120" s="32" t="n">
        <v>45818</v>
      </c>
      <c r="B120" s="33" t="s">
        <v>53</v>
      </c>
      <c r="C120" s="33" t="s">
        <v>122</v>
      </c>
      <c r="D120" s="34" t="n">
        <v>80900</v>
      </c>
      <c r="E120" s="33" t="n">
        <v>2</v>
      </c>
      <c r="F120" s="34" t="n">
        <f aca="false">D120*E120</f>
        <v>161800</v>
      </c>
      <c r="G120" s="33" t="s">
        <v>57</v>
      </c>
      <c r="H120" s="33" t="str">
        <f aca="false">INDEX(Products!$C$2:$C$51,MATCH(C120,Products!$B$2:$B$51,0))</f>
        <v>Scooter</v>
      </c>
    </row>
    <row r="121" customFormat="false" ht="15" hidden="false" customHeight="false" outlineLevel="0" collapsed="false">
      <c r="A121" s="32" t="n">
        <v>45818</v>
      </c>
      <c r="B121" s="33" t="s">
        <v>49</v>
      </c>
      <c r="C121" s="33" t="s">
        <v>51</v>
      </c>
      <c r="D121" s="34" t="n">
        <v>689000</v>
      </c>
      <c r="E121" s="33" t="n">
        <v>16</v>
      </c>
      <c r="F121" s="34" t="n">
        <f aca="false">D121*E121</f>
        <v>11024000</v>
      </c>
      <c r="G121" s="33" t="s">
        <v>50</v>
      </c>
      <c r="H121" s="33" t="str">
        <f aca="false">INDEX(Products!$C$2:$C$51,MATCH(C121,Products!$B$2:$B$51,0))</f>
        <v>Heritage</v>
      </c>
    </row>
    <row r="122" customFormat="false" ht="15" hidden="false" customHeight="false" outlineLevel="0" collapsed="false">
      <c r="A122" s="32" t="n">
        <v>45818</v>
      </c>
      <c r="B122" s="33" t="s">
        <v>49</v>
      </c>
      <c r="C122" s="33" t="s">
        <v>123</v>
      </c>
      <c r="D122" s="34" t="n">
        <v>79900</v>
      </c>
      <c r="E122" s="33" t="n">
        <v>43</v>
      </c>
      <c r="F122" s="34" t="n">
        <f aca="false">D122*E122</f>
        <v>3435700</v>
      </c>
      <c r="G122" s="33" t="s">
        <v>50</v>
      </c>
      <c r="H122" s="33" t="str">
        <f aca="false">INDEX(Products!$C$2:$C$51,MATCH(C122,Products!$B$2:$B$51,0))</f>
        <v>Scooter</v>
      </c>
    </row>
    <row r="123" customFormat="false" ht="15" hidden="false" customHeight="false" outlineLevel="0" collapsed="false">
      <c r="A123" s="32" t="n">
        <v>45818</v>
      </c>
      <c r="B123" s="33" t="s">
        <v>53</v>
      </c>
      <c r="C123" s="33" t="s">
        <v>58</v>
      </c>
      <c r="D123" s="34" t="n">
        <v>995000</v>
      </c>
      <c r="E123" s="33" t="n">
        <v>5</v>
      </c>
      <c r="F123" s="34" t="n">
        <f aca="false">D123*E123</f>
        <v>4975000</v>
      </c>
      <c r="G123" s="33" t="s">
        <v>50</v>
      </c>
      <c r="H123" s="33" t="str">
        <f aca="false">INDEX(Products!$C$2:$C$51,MATCH(C123,Products!$B$2:$B$51,0))</f>
        <v>Heritage</v>
      </c>
    </row>
    <row r="124" customFormat="false" ht="15" hidden="false" customHeight="false" outlineLevel="0" collapsed="false">
      <c r="A124" s="32" t="n">
        <v>45818</v>
      </c>
      <c r="B124" s="33" t="s">
        <v>53</v>
      </c>
      <c r="C124" s="33" t="s">
        <v>70</v>
      </c>
      <c r="D124" s="34" t="n">
        <v>320000</v>
      </c>
      <c r="E124" s="33" t="n">
        <v>20</v>
      </c>
      <c r="F124" s="34" t="n">
        <f aca="false">D124*E124</f>
        <v>6400000</v>
      </c>
      <c r="G124" s="33" t="s">
        <v>54</v>
      </c>
      <c r="H124" s="33" t="str">
        <f aca="false">INDEX(Products!$C$2:$C$51,MATCH(C124,Products!$B$2:$B$51,0))</f>
        <v>Adventure</v>
      </c>
    </row>
    <row r="125" customFormat="false" ht="15" hidden="false" customHeight="false" outlineLevel="0" collapsed="false">
      <c r="A125" s="32" t="n">
        <v>45818</v>
      </c>
      <c r="B125" s="33" t="s">
        <v>53</v>
      </c>
      <c r="C125" s="33" t="s">
        <v>65</v>
      </c>
      <c r="D125" s="34" t="n">
        <v>345000</v>
      </c>
      <c r="E125" s="33" t="n">
        <v>22</v>
      </c>
      <c r="F125" s="34" t="n">
        <f aca="false">D125*E125</f>
        <v>7590000</v>
      </c>
      <c r="G125" s="33" t="s">
        <v>54</v>
      </c>
      <c r="H125" s="33" t="str">
        <f aca="false">INDEX(Products!$C$2:$C$51,MATCH(C125,Products!$B$2:$B$51,0))</f>
        <v>Touring</v>
      </c>
    </row>
    <row r="126" customFormat="false" ht="15" hidden="false" customHeight="false" outlineLevel="0" collapsed="false">
      <c r="A126" s="32" t="n">
        <v>45818</v>
      </c>
      <c r="B126" s="33" t="s">
        <v>49</v>
      </c>
      <c r="C126" s="33" t="s">
        <v>63</v>
      </c>
      <c r="D126" s="34" t="n">
        <v>99900</v>
      </c>
      <c r="E126" s="33" t="n">
        <v>5</v>
      </c>
      <c r="F126" s="34" t="n">
        <f aca="false">D126*E126</f>
        <v>499500</v>
      </c>
      <c r="G126" s="33" t="s">
        <v>57</v>
      </c>
      <c r="H126" s="33" t="str">
        <f aca="false">INDEX(Products!$C$2:$C$51,MATCH(C126,Products!$B$2:$B$51,0))</f>
        <v>Street</v>
      </c>
    </row>
    <row r="127" customFormat="false" ht="15" hidden="false" customHeight="false" outlineLevel="0" collapsed="false">
      <c r="A127" s="32" t="n">
        <v>45818</v>
      </c>
      <c r="B127" s="33" t="s">
        <v>49</v>
      </c>
      <c r="C127" s="33" t="s">
        <v>131</v>
      </c>
      <c r="D127" s="34" t="n">
        <v>72900</v>
      </c>
      <c r="E127" s="33" t="n">
        <v>7</v>
      </c>
      <c r="F127" s="34" t="n">
        <f aca="false">D127*E127</f>
        <v>510300</v>
      </c>
      <c r="G127" s="33" t="s">
        <v>57</v>
      </c>
      <c r="H127" s="33" t="str">
        <f aca="false">INDEX(Products!$C$2:$C$51,MATCH(C127,Products!$B$2:$B$51,0))</f>
        <v>Underbone</v>
      </c>
    </row>
    <row r="128" customFormat="false" ht="15" hidden="false" customHeight="false" outlineLevel="0" collapsed="false">
      <c r="A128" s="32" t="n">
        <v>45819</v>
      </c>
      <c r="B128" s="33" t="s">
        <v>49</v>
      </c>
      <c r="C128" s="33" t="s">
        <v>122</v>
      </c>
      <c r="D128" s="34" t="n">
        <v>80900</v>
      </c>
      <c r="E128" s="33" t="n">
        <v>38</v>
      </c>
      <c r="F128" s="34" t="n">
        <f aca="false">D128*E128</f>
        <v>3074200</v>
      </c>
      <c r="G128" s="33" t="s">
        <v>54</v>
      </c>
      <c r="H128" s="33" t="str">
        <f aca="false">INDEX(Products!$C$2:$C$51,MATCH(C128,Products!$B$2:$B$51,0))</f>
        <v>Scooter</v>
      </c>
    </row>
    <row r="129" customFormat="false" ht="15" hidden="false" customHeight="false" outlineLevel="0" collapsed="false">
      <c r="A129" s="32" t="n">
        <v>45819</v>
      </c>
      <c r="B129" s="33" t="s">
        <v>53</v>
      </c>
      <c r="C129" s="33" t="s">
        <v>52</v>
      </c>
      <c r="D129" s="34" t="n">
        <v>398000</v>
      </c>
      <c r="E129" s="33" t="n">
        <v>22</v>
      </c>
      <c r="F129" s="34" t="n">
        <f aca="false">D129*E129</f>
        <v>8756000</v>
      </c>
      <c r="G129" s="33" t="s">
        <v>50</v>
      </c>
      <c r="H129" s="33" t="str">
        <f aca="false">INDEX(Products!$C$2:$C$51,MATCH(C129,Products!$B$2:$B$51,0))</f>
        <v>Cruiser</v>
      </c>
    </row>
    <row r="130" customFormat="false" ht="15" hidden="false" customHeight="false" outlineLevel="0" collapsed="false">
      <c r="A130" s="32" t="n">
        <v>45819</v>
      </c>
      <c r="B130" s="33" t="s">
        <v>49</v>
      </c>
      <c r="C130" s="33" t="s">
        <v>52</v>
      </c>
      <c r="D130" s="34" t="n">
        <v>398000</v>
      </c>
      <c r="E130" s="33" t="n">
        <v>7</v>
      </c>
      <c r="F130" s="34" t="n">
        <f aca="false">D130*E130</f>
        <v>2786000</v>
      </c>
      <c r="G130" s="33" t="s">
        <v>50</v>
      </c>
      <c r="H130" s="33" t="str">
        <f aca="false">INDEX(Products!$C$2:$C$51,MATCH(C130,Products!$B$2:$B$51,0))</f>
        <v>Cruiser</v>
      </c>
    </row>
    <row r="131" customFormat="false" ht="15" hidden="false" customHeight="false" outlineLevel="0" collapsed="false">
      <c r="A131" s="32" t="n">
        <v>45819</v>
      </c>
      <c r="B131" s="33" t="s">
        <v>53</v>
      </c>
      <c r="C131" s="33" t="s">
        <v>100</v>
      </c>
      <c r="D131" s="34" t="n">
        <v>78900</v>
      </c>
      <c r="E131" s="33" t="n">
        <v>23</v>
      </c>
      <c r="F131" s="34" t="n">
        <f aca="false">D131*E131</f>
        <v>1814700</v>
      </c>
      <c r="G131" s="33" t="s">
        <v>54</v>
      </c>
      <c r="H131" s="33" t="str">
        <f aca="false">INDEX(Products!$C$2:$C$51,MATCH(C131,Products!$B$2:$B$51,0))</f>
        <v>Adventure</v>
      </c>
    </row>
    <row r="132" customFormat="false" ht="15" hidden="false" customHeight="false" outlineLevel="0" collapsed="false">
      <c r="A132" s="32" t="n">
        <v>45819</v>
      </c>
      <c r="B132" s="33" t="s">
        <v>49</v>
      </c>
      <c r="C132" s="33" t="s">
        <v>124</v>
      </c>
      <c r="D132" s="34" t="n">
        <v>295000</v>
      </c>
      <c r="E132" s="33" t="n">
        <v>11</v>
      </c>
      <c r="F132" s="34" t="n">
        <f aca="false">D132*E132</f>
        <v>3245000</v>
      </c>
      <c r="G132" s="33" t="s">
        <v>54</v>
      </c>
      <c r="H132" s="33" t="str">
        <f aca="false">INDEX(Products!$C$2:$C$51,MATCH(C132,Products!$B$2:$B$51,0))</f>
        <v>Scrambler</v>
      </c>
    </row>
    <row r="133" customFormat="false" ht="15" hidden="false" customHeight="false" outlineLevel="0" collapsed="false">
      <c r="A133" s="32" t="n">
        <v>45820</v>
      </c>
      <c r="B133" s="33" t="s">
        <v>53</v>
      </c>
      <c r="C133" s="33" t="s">
        <v>71</v>
      </c>
      <c r="D133" s="34" t="n">
        <v>165000</v>
      </c>
      <c r="E133" s="33" t="n">
        <v>30</v>
      </c>
      <c r="F133" s="34" t="n">
        <f aca="false">D133*E133</f>
        <v>4950000</v>
      </c>
      <c r="G133" s="33" t="s">
        <v>54</v>
      </c>
      <c r="H133" s="33" t="str">
        <f aca="false">INDEX(Products!$C$2:$C$51,MATCH(C133,Products!$B$2:$B$51,0))</f>
        <v>Naked Bike</v>
      </c>
    </row>
    <row r="134" customFormat="false" ht="15" hidden="false" customHeight="false" outlineLevel="0" collapsed="false">
      <c r="A134" s="32" t="n">
        <v>45820</v>
      </c>
      <c r="B134" s="33" t="s">
        <v>49</v>
      </c>
      <c r="C134" s="33" t="s">
        <v>105</v>
      </c>
      <c r="D134" s="34" t="n">
        <v>349000</v>
      </c>
      <c r="E134" s="33" t="n">
        <v>12</v>
      </c>
      <c r="F134" s="34" t="n">
        <f aca="false">D134*E134</f>
        <v>4188000</v>
      </c>
      <c r="G134" s="33" t="s">
        <v>54</v>
      </c>
      <c r="H134" s="33" t="str">
        <f aca="false">INDEX(Products!$C$2:$C$51,MATCH(C134,Products!$B$2:$B$51,0))</f>
        <v>Cruiser</v>
      </c>
    </row>
    <row r="135" customFormat="false" ht="15" hidden="false" customHeight="false" outlineLevel="0" collapsed="false">
      <c r="A135" s="32" t="n">
        <v>45820</v>
      </c>
      <c r="B135" s="33" t="s">
        <v>53</v>
      </c>
      <c r="C135" s="33" t="s">
        <v>68</v>
      </c>
      <c r="D135" s="34" t="n">
        <v>389000</v>
      </c>
      <c r="E135" s="33" t="n">
        <v>14</v>
      </c>
      <c r="F135" s="34" t="n">
        <f aca="false">D135*E135</f>
        <v>5446000</v>
      </c>
      <c r="G135" s="33" t="s">
        <v>54</v>
      </c>
      <c r="H135" s="33" t="str">
        <f aca="false">INDEX(Products!$C$2:$C$51,MATCH(C135,Products!$B$2:$B$51,0))</f>
        <v>Sport</v>
      </c>
    </row>
    <row r="136" customFormat="false" ht="15" hidden="false" customHeight="false" outlineLevel="0" collapsed="false">
      <c r="A136" s="32" t="n">
        <v>45820</v>
      </c>
      <c r="B136" s="33" t="s">
        <v>49</v>
      </c>
      <c r="C136" s="33" t="s">
        <v>106</v>
      </c>
      <c r="D136" s="34" t="n">
        <v>284900</v>
      </c>
      <c r="E136" s="33" t="n">
        <v>32</v>
      </c>
      <c r="F136" s="34" t="n">
        <f aca="false">D136*E136</f>
        <v>9116800</v>
      </c>
      <c r="G136" s="33" t="s">
        <v>57</v>
      </c>
      <c r="H136" s="33" t="str">
        <f aca="false">INDEX(Products!$C$2:$C$51,MATCH(C136,Products!$B$2:$B$51,0))</f>
        <v>Dual-Sport</v>
      </c>
    </row>
    <row r="137" customFormat="false" ht="15" hidden="false" customHeight="false" outlineLevel="0" collapsed="false">
      <c r="A137" s="32" t="n">
        <v>45820</v>
      </c>
      <c r="B137" s="33" t="s">
        <v>53</v>
      </c>
      <c r="C137" s="33" t="s">
        <v>128</v>
      </c>
      <c r="D137" s="34" t="n">
        <v>68900</v>
      </c>
      <c r="E137" s="33" t="n">
        <v>11</v>
      </c>
      <c r="F137" s="34" t="n">
        <f aca="false">D137*E137</f>
        <v>757900</v>
      </c>
      <c r="G137" s="33" t="s">
        <v>57</v>
      </c>
      <c r="H137" s="33" t="str">
        <f aca="false">INDEX(Products!$C$2:$C$51,MATCH(C137,Products!$B$2:$B$51,0))</f>
        <v>Standard</v>
      </c>
    </row>
    <row r="138" customFormat="false" ht="15" hidden="false" customHeight="false" outlineLevel="0" collapsed="false">
      <c r="A138" s="32" t="n">
        <v>45820</v>
      </c>
      <c r="B138" s="33" t="s">
        <v>53</v>
      </c>
      <c r="C138" s="33" t="s">
        <v>113</v>
      </c>
      <c r="D138" s="34" t="n">
        <v>182000</v>
      </c>
      <c r="E138" s="33" t="n">
        <v>20</v>
      </c>
      <c r="F138" s="34" t="n">
        <f aca="false">D138*E138</f>
        <v>3640000</v>
      </c>
      <c r="G138" s="33" t="s">
        <v>50</v>
      </c>
      <c r="H138" s="33" t="str">
        <f aca="false">INDEX(Products!$C$2:$C$51,MATCH(C138,Products!$B$2:$B$51,0))</f>
        <v>Retro</v>
      </c>
    </row>
    <row r="139" customFormat="false" ht="15" hidden="false" customHeight="false" outlineLevel="0" collapsed="false">
      <c r="A139" s="32" t="n">
        <v>45820</v>
      </c>
      <c r="B139" s="33" t="s">
        <v>53</v>
      </c>
      <c r="C139" s="33" t="s">
        <v>114</v>
      </c>
      <c r="D139" s="34" t="n">
        <v>319000</v>
      </c>
      <c r="E139" s="33" t="n">
        <v>17</v>
      </c>
      <c r="F139" s="34" t="n">
        <f aca="false">D139*E139</f>
        <v>5423000</v>
      </c>
      <c r="G139" s="33" t="s">
        <v>54</v>
      </c>
      <c r="H139" s="33" t="str">
        <f aca="false">INDEX(Products!$C$2:$C$51,MATCH(C139,Products!$B$2:$B$51,0))</f>
        <v>Scooter</v>
      </c>
    </row>
    <row r="140" customFormat="false" ht="15" hidden="false" customHeight="false" outlineLevel="0" collapsed="false">
      <c r="A140" s="32" t="n">
        <v>45820</v>
      </c>
      <c r="B140" s="33" t="s">
        <v>53</v>
      </c>
      <c r="C140" s="33" t="s">
        <v>68</v>
      </c>
      <c r="D140" s="34" t="n">
        <v>389000</v>
      </c>
      <c r="E140" s="33" t="n">
        <v>3</v>
      </c>
      <c r="F140" s="34" t="n">
        <f aca="false">D140*E140</f>
        <v>1167000</v>
      </c>
      <c r="G140" s="33" t="s">
        <v>50</v>
      </c>
      <c r="H140" s="33" t="str">
        <f aca="false">INDEX(Products!$C$2:$C$51,MATCH(C140,Products!$B$2:$B$51,0))</f>
        <v>Sport</v>
      </c>
    </row>
    <row r="141" customFormat="false" ht="15" hidden="false" customHeight="false" outlineLevel="0" collapsed="false">
      <c r="A141" s="32" t="n">
        <v>45820</v>
      </c>
      <c r="B141" s="33" t="s">
        <v>49</v>
      </c>
      <c r="C141" s="33" t="s">
        <v>70</v>
      </c>
      <c r="D141" s="34" t="n">
        <v>320000</v>
      </c>
      <c r="E141" s="33" t="n">
        <v>49</v>
      </c>
      <c r="F141" s="34" t="n">
        <f aca="false">D141*E141</f>
        <v>15680000</v>
      </c>
      <c r="G141" s="33" t="s">
        <v>50</v>
      </c>
      <c r="H141" s="33" t="str">
        <f aca="false">INDEX(Products!$C$2:$C$51,MATCH(C141,Products!$B$2:$B$51,0))</f>
        <v>Adventure</v>
      </c>
    </row>
    <row r="142" customFormat="false" ht="15" hidden="false" customHeight="false" outlineLevel="0" collapsed="false">
      <c r="A142" s="32" t="n">
        <v>45820</v>
      </c>
      <c r="B142" s="33" t="s">
        <v>53</v>
      </c>
      <c r="C142" s="33" t="s">
        <v>102</v>
      </c>
      <c r="D142" s="34" t="n">
        <v>269000</v>
      </c>
      <c r="E142" s="33" t="n">
        <v>17</v>
      </c>
      <c r="F142" s="34" t="n">
        <f aca="false">D142*E142</f>
        <v>4573000</v>
      </c>
      <c r="G142" s="33" t="s">
        <v>50</v>
      </c>
      <c r="H142" s="33" t="str">
        <f aca="false">INDEX(Products!$C$2:$C$51,MATCH(C142,Products!$B$2:$B$51,0))</f>
        <v>Cafe Racer</v>
      </c>
    </row>
    <row r="143" customFormat="false" ht="15" hidden="false" customHeight="false" outlineLevel="0" collapsed="false">
      <c r="A143" s="32" t="n">
        <v>45820</v>
      </c>
      <c r="B143" s="33" t="s">
        <v>49</v>
      </c>
      <c r="C143" s="33" t="s">
        <v>71</v>
      </c>
      <c r="D143" s="34" t="n">
        <v>165000</v>
      </c>
      <c r="E143" s="33" t="n">
        <v>43</v>
      </c>
      <c r="F143" s="34" t="n">
        <f aca="false">D143*E143</f>
        <v>7095000</v>
      </c>
      <c r="G143" s="33" t="s">
        <v>57</v>
      </c>
      <c r="H143" s="33" t="str">
        <f aca="false">INDEX(Products!$C$2:$C$51,MATCH(C143,Products!$B$2:$B$51,0))</f>
        <v>Naked Bike</v>
      </c>
    </row>
    <row r="144" customFormat="false" ht="15" hidden="false" customHeight="false" outlineLevel="0" collapsed="false">
      <c r="A144" s="32" t="n">
        <v>45820</v>
      </c>
      <c r="B144" s="33" t="s">
        <v>49</v>
      </c>
      <c r="C144" s="33" t="s">
        <v>64</v>
      </c>
      <c r="D144" s="34" t="n">
        <v>248000</v>
      </c>
      <c r="E144" s="33" t="n">
        <v>25</v>
      </c>
      <c r="F144" s="34" t="n">
        <f aca="false">D144*E144</f>
        <v>6200000</v>
      </c>
      <c r="G144" s="33" t="s">
        <v>57</v>
      </c>
      <c r="H144" s="33" t="str">
        <f aca="false">INDEX(Products!$C$2:$C$51,MATCH(C144,Products!$B$2:$B$51,0))</f>
        <v>Adventure</v>
      </c>
    </row>
    <row r="145" customFormat="false" ht="15" hidden="false" customHeight="false" outlineLevel="0" collapsed="false">
      <c r="A145" s="32" t="n">
        <v>45820</v>
      </c>
      <c r="B145" s="33" t="s">
        <v>53</v>
      </c>
      <c r="C145" s="33" t="s">
        <v>113</v>
      </c>
      <c r="D145" s="34" t="n">
        <v>182000</v>
      </c>
      <c r="E145" s="33" t="n">
        <v>11</v>
      </c>
      <c r="F145" s="34" t="n">
        <f aca="false">D145*E145</f>
        <v>2002000</v>
      </c>
      <c r="G145" s="33" t="s">
        <v>57</v>
      </c>
      <c r="H145" s="33" t="str">
        <f aca="false">INDEX(Products!$C$2:$C$51,MATCH(C145,Products!$B$2:$B$51,0))</f>
        <v>Retro</v>
      </c>
    </row>
    <row r="146" customFormat="false" ht="15" hidden="false" customHeight="false" outlineLevel="0" collapsed="false">
      <c r="A146" s="32" t="n">
        <v>45820</v>
      </c>
      <c r="B146" s="33" t="s">
        <v>49</v>
      </c>
      <c r="C146" s="33" t="s">
        <v>70</v>
      </c>
      <c r="D146" s="34" t="n">
        <v>320000</v>
      </c>
      <c r="E146" s="33" t="n">
        <v>35</v>
      </c>
      <c r="F146" s="34" t="n">
        <f aca="false">D146*E146</f>
        <v>11200000</v>
      </c>
      <c r="G146" s="33" t="s">
        <v>57</v>
      </c>
      <c r="H146" s="33" t="str">
        <f aca="false">INDEX(Products!$C$2:$C$51,MATCH(C146,Products!$B$2:$B$51,0))</f>
        <v>Adventure</v>
      </c>
    </row>
    <row r="147" customFormat="false" ht="15" hidden="false" customHeight="false" outlineLevel="0" collapsed="false">
      <c r="A147" s="32" t="n">
        <v>45821</v>
      </c>
      <c r="B147" s="33" t="s">
        <v>49</v>
      </c>
      <c r="C147" s="33" t="s">
        <v>102</v>
      </c>
      <c r="D147" s="34" t="n">
        <v>269000</v>
      </c>
      <c r="E147" s="33" t="n">
        <v>45</v>
      </c>
      <c r="F147" s="34" t="n">
        <f aca="false">D147*E147</f>
        <v>12105000</v>
      </c>
      <c r="G147" s="33" t="s">
        <v>50</v>
      </c>
      <c r="H147" s="33" t="str">
        <f aca="false">INDEX(Products!$C$2:$C$51,MATCH(C147,Products!$B$2:$B$51,0))</f>
        <v>Cafe Racer</v>
      </c>
    </row>
    <row r="148" customFormat="false" ht="15" hidden="false" customHeight="false" outlineLevel="0" collapsed="false">
      <c r="A148" s="32" t="n">
        <v>45821</v>
      </c>
      <c r="B148" s="33" t="s">
        <v>49</v>
      </c>
      <c r="C148" s="33" t="s">
        <v>120</v>
      </c>
      <c r="D148" s="34" t="n">
        <v>124000</v>
      </c>
      <c r="E148" s="33" t="n">
        <v>15</v>
      </c>
      <c r="F148" s="34" t="n">
        <f aca="false">D148*E148</f>
        <v>1860000</v>
      </c>
      <c r="G148" s="33" t="s">
        <v>50</v>
      </c>
      <c r="H148" s="33" t="str">
        <f aca="false">INDEX(Products!$C$2:$C$51,MATCH(C148,Products!$B$2:$B$51,0))</f>
        <v>Scooter</v>
      </c>
    </row>
    <row r="149" customFormat="false" ht="15" hidden="false" customHeight="false" outlineLevel="0" collapsed="false">
      <c r="A149" s="32" t="n">
        <v>45821</v>
      </c>
      <c r="B149" s="33" t="s">
        <v>53</v>
      </c>
      <c r="C149" s="33" t="s">
        <v>55</v>
      </c>
      <c r="D149" s="34" t="n">
        <v>67900</v>
      </c>
      <c r="E149" s="33" t="n">
        <v>30</v>
      </c>
      <c r="F149" s="34" t="n">
        <f aca="false">D149*E149</f>
        <v>2037000</v>
      </c>
      <c r="G149" s="33" t="s">
        <v>50</v>
      </c>
      <c r="H149" s="33" t="str">
        <f aca="false">INDEX(Products!$C$2:$C$51,MATCH(C149,Products!$B$2:$B$51,0))</f>
        <v>Commuter</v>
      </c>
    </row>
    <row r="150" customFormat="false" ht="15" hidden="false" customHeight="false" outlineLevel="0" collapsed="false">
      <c r="A150" s="32" t="n">
        <v>45821</v>
      </c>
      <c r="B150" s="33" t="s">
        <v>49</v>
      </c>
      <c r="C150" s="33" t="s">
        <v>51</v>
      </c>
      <c r="D150" s="34" t="n">
        <v>689000</v>
      </c>
      <c r="E150" s="33" t="n">
        <v>13</v>
      </c>
      <c r="F150" s="34" t="n">
        <f aca="false">D150*E150</f>
        <v>8957000</v>
      </c>
      <c r="G150" s="33" t="s">
        <v>57</v>
      </c>
      <c r="H150" s="33" t="str">
        <f aca="false">INDEX(Products!$C$2:$C$51,MATCH(C150,Products!$B$2:$B$51,0))</f>
        <v>Heritage</v>
      </c>
    </row>
    <row r="151" customFormat="false" ht="15" hidden="false" customHeight="false" outlineLevel="0" collapsed="false">
      <c r="A151" s="32" t="n">
        <v>45821</v>
      </c>
      <c r="B151" s="33" t="s">
        <v>49</v>
      </c>
      <c r="C151" s="33" t="s">
        <v>59</v>
      </c>
      <c r="D151" s="34" t="n">
        <v>165000</v>
      </c>
      <c r="E151" s="33" t="n">
        <v>42</v>
      </c>
      <c r="F151" s="34" t="n">
        <f aca="false">D151*E151</f>
        <v>6930000</v>
      </c>
      <c r="G151" s="33" t="s">
        <v>50</v>
      </c>
      <c r="H151" s="33" t="str">
        <f aca="false">INDEX(Products!$C$2:$C$51,MATCH(C151,Products!$B$2:$B$51,0))</f>
        <v>Sport</v>
      </c>
    </row>
    <row r="152" customFormat="false" ht="15" hidden="false" customHeight="false" outlineLevel="0" collapsed="false">
      <c r="A152" s="32" t="n">
        <v>45821</v>
      </c>
      <c r="B152" s="33" t="s">
        <v>49</v>
      </c>
      <c r="C152" s="33" t="s">
        <v>66</v>
      </c>
      <c r="D152" s="34" t="n">
        <v>398000</v>
      </c>
      <c r="E152" s="33" t="n">
        <v>41</v>
      </c>
      <c r="F152" s="34" t="n">
        <f aca="false">D152*E152</f>
        <v>16318000</v>
      </c>
      <c r="G152" s="33" t="s">
        <v>54</v>
      </c>
      <c r="H152" s="33" t="str">
        <f aca="false">INDEX(Products!$C$2:$C$51,MATCH(C152,Products!$B$2:$B$51,0))</f>
        <v>Scooter</v>
      </c>
    </row>
    <row r="153" customFormat="false" ht="15" hidden="false" customHeight="false" outlineLevel="0" collapsed="false">
      <c r="A153" s="32" t="n">
        <v>45821</v>
      </c>
      <c r="B153" s="33" t="s">
        <v>53</v>
      </c>
      <c r="C153" s="33" t="s">
        <v>51</v>
      </c>
      <c r="D153" s="34" t="n">
        <v>689000</v>
      </c>
      <c r="E153" s="33" t="n">
        <v>5</v>
      </c>
      <c r="F153" s="34" t="n">
        <f aca="false">D153*E153</f>
        <v>3445000</v>
      </c>
      <c r="G153" s="33" t="s">
        <v>50</v>
      </c>
      <c r="H153" s="33" t="str">
        <f aca="false">INDEX(Products!$C$2:$C$51,MATCH(C153,Products!$B$2:$B$51,0))</f>
        <v>Heritage</v>
      </c>
    </row>
    <row r="154" customFormat="false" ht="15" hidden="false" customHeight="false" outlineLevel="0" collapsed="false">
      <c r="A154" s="32" t="n">
        <v>45821</v>
      </c>
      <c r="B154" s="33" t="s">
        <v>49</v>
      </c>
      <c r="C154" s="33" t="s">
        <v>69</v>
      </c>
      <c r="D154" s="34" t="n">
        <v>164900</v>
      </c>
      <c r="E154" s="33" t="n">
        <v>11</v>
      </c>
      <c r="F154" s="34" t="n">
        <f aca="false">D154*E154</f>
        <v>1813900</v>
      </c>
      <c r="G154" s="33" t="s">
        <v>57</v>
      </c>
      <c r="H154" s="33" t="str">
        <f aca="false">INDEX(Products!$C$2:$C$51,MATCH(C154,Products!$B$2:$B$51,0))</f>
        <v>Scooter</v>
      </c>
    </row>
    <row r="155" customFormat="false" ht="15" hidden="false" customHeight="false" outlineLevel="0" collapsed="false">
      <c r="A155" s="32" t="n">
        <v>45821</v>
      </c>
      <c r="B155" s="33" t="s">
        <v>53</v>
      </c>
      <c r="C155" s="33" t="s">
        <v>63</v>
      </c>
      <c r="D155" s="34" t="n">
        <v>99900</v>
      </c>
      <c r="E155" s="33" t="n">
        <v>30</v>
      </c>
      <c r="F155" s="34" t="n">
        <f aca="false">D155*E155</f>
        <v>2997000</v>
      </c>
      <c r="G155" s="33" t="s">
        <v>50</v>
      </c>
      <c r="H155" s="33" t="str">
        <f aca="false">INDEX(Products!$C$2:$C$51,MATCH(C155,Products!$B$2:$B$51,0))</f>
        <v>Street</v>
      </c>
    </row>
    <row r="156" customFormat="false" ht="15" hidden="false" customHeight="false" outlineLevel="0" collapsed="false">
      <c r="A156" s="32" t="n">
        <v>45821</v>
      </c>
      <c r="B156" s="33" t="s">
        <v>53</v>
      </c>
      <c r="C156" s="33" t="s">
        <v>111</v>
      </c>
      <c r="D156" s="34" t="n">
        <v>129000</v>
      </c>
      <c r="E156" s="33" t="n">
        <v>16</v>
      </c>
      <c r="F156" s="34" t="n">
        <f aca="false">D156*E156</f>
        <v>2064000</v>
      </c>
      <c r="G156" s="33" t="s">
        <v>54</v>
      </c>
      <c r="H156" s="33" t="str">
        <f aca="false">INDEX(Products!$C$2:$C$51,MATCH(C156,Products!$B$2:$B$51,0))</f>
        <v>Naked Bike</v>
      </c>
    </row>
    <row r="157" customFormat="false" ht="15" hidden="false" customHeight="false" outlineLevel="0" collapsed="false">
      <c r="A157" s="32" t="n">
        <v>45821</v>
      </c>
      <c r="B157" s="33" t="s">
        <v>49</v>
      </c>
      <c r="C157" s="33" t="s">
        <v>107</v>
      </c>
      <c r="D157" s="34" t="n">
        <v>199000</v>
      </c>
      <c r="E157" s="33" t="n">
        <v>4</v>
      </c>
      <c r="F157" s="34" t="n">
        <f aca="false">D157*E157</f>
        <v>796000</v>
      </c>
      <c r="G157" s="33" t="s">
        <v>50</v>
      </c>
      <c r="H157" s="33" t="str">
        <f aca="false">INDEX(Products!$C$2:$C$51,MATCH(C157,Products!$B$2:$B$51,0))</f>
        <v>Dual-Sport</v>
      </c>
    </row>
    <row r="158" customFormat="false" ht="15" hidden="false" customHeight="false" outlineLevel="0" collapsed="false">
      <c r="A158" s="32" t="n">
        <v>45822</v>
      </c>
      <c r="B158" s="33" t="s">
        <v>53</v>
      </c>
      <c r="C158" s="33" t="s">
        <v>110</v>
      </c>
      <c r="D158" s="34" t="n">
        <v>178000</v>
      </c>
      <c r="E158" s="33" t="n">
        <v>3</v>
      </c>
      <c r="F158" s="34" t="n">
        <f aca="false">D158*E158</f>
        <v>534000</v>
      </c>
      <c r="G158" s="33" t="s">
        <v>56</v>
      </c>
      <c r="H158" s="33" t="str">
        <f aca="false">INDEX(Products!$C$2:$C$51,MATCH(C158,Products!$B$2:$B$51,0))</f>
        <v>Naked Bike</v>
      </c>
    </row>
    <row r="159" customFormat="false" ht="15" hidden="false" customHeight="false" outlineLevel="0" collapsed="false">
      <c r="A159" s="32" t="n">
        <v>45822</v>
      </c>
      <c r="B159" s="33" t="s">
        <v>49</v>
      </c>
      <c r="C159" s="33" t="s">
        <v>51</v>
      </c>
      <c r="D159" s="34" t="n">
        <v>689000</v>
      </c>
      <c r="E159" s="33" t="n">
        <v>43</v>
      </c>
      <c r="F159" s="34" t="n">
        <f aca="false">D159*E159</f>
        <v>29627000</v>
      </c>
      <c r="G159" s="33" t="s">
        <v>54</v>
      </c>
      <c r="H159" s="33" t="str">
        <f aca="false">INDEX(Products!$C$2:$C$51,MATCH(C159,Products!$B$2:$B$51,0))</f>
        <v>Heritage</v>
      </c>
    </row>
    <row r="160" customFormat="false" ht="15" hidden="false" customHeight="false" outlineLevel="0" collapsed="false">
      <c r="A160" s="32" t="n">
        <v>45822</v>
      </c>
      <c r="B160" s="33" t="s">
        <v>49</v>
      </c>
      <c r="C160" s="33" t="s">
        <v>52</v>
      </c>
      <c r="D160" s="34" t="n">
        <v>398000</v>
      </c>
      <c r="E160" s="33" t="n">
        <v>12</v>
      </c>
      <c r="F160" s="34" t="n">
        <f aca="false">D160*E160</f>
        <v>4776000</v>
      </c>
      <c r="G160" s="33" t="s">
        <v>50</v>
      </c>
      <c r="H160" s="33" t="str">
        <f aca="false">INDEX(Products!$C$2:$C$51,MATCH(C160,Products!$B$2:$B$51,0))</f>
        <v>Cruiser</v>
      </c>
    </row>
    <row r="161" customFormat="false" ht="15" hidden="false" customHeight="false" outlineLevel="0" collapsed="false">
      <c r="A161" s="32" t="n">
        <v>45822</v>
      </c>
      <c r="B161" s="33" t="s">
        <v>49</v>
      </c>
      <c r="C161" s="33" t="s">
        <v>70</v>
      </c>
      <c r="D161" s="34" t="n">
        <v>320000</v>
      </c>
      <c r="E161" s="33" t="n">
        <v>16</v>
      </c>
      <c r="F161" s="34" t="n">
        <f aca="false">D161*E161</f>
        <v>5120000</v>
      </c>
      <c r="G161" s="33" t="s">
        <v>50</v>
      </c>
      <c r="H161" s="33" t="str">
        <f aca="false">INDEX(Products!$C$2:$C$51,MATCH(C161,Products!$B$2:$B$51,0))</f>
        <v>Adventure</v>
      </c>
    </row>
    <row r="162" customFormat="false" ht="15" hidden="false" customHeight="false" outlineLevel="0" collapsed="false">
      <c r="A162" s="32" t="n">
        <v>45822</v>
      </c>
      <c r="B162" s="33" t="s">
        <v>49</v>
      </c>
      <c r="C162" s="33" t="s">
        <v>51</v>
      </c>
      <c r="D162" s="34" t="n">
        <v>689000</v>
      </c>
      <c r="E162" s="33" t="n">
        <v>40</v>
      </c>
      <c r="F162" s="34" t="n">
        <f aca="false">D162*E162</f>
        <v>27560000</v>
      </c>
      <c r="G162" s="33" t="s">
        <v>57</v>
      </c>
      <c r="H162" s="33" t="str">
        <f aca="false">INDEX(Products!$C$2:$C$51,MATCH(C162,Products!$B$2:$B$51,0))</f>
        <v>Heritage</v>
      </c>
    </row>
    <row r="163" customFormat="false" ht="15" hidden="false" customHeight="false" outlineLevel="0" collapsed="false">
      <c r="A163" s="32" t="n">
        <v>45822</v>
      </c>
      <c r="B163" s="33" t="s">
        <v>49</v>
      </c>
      <c r="C163" s="33" t="s">
        <v>62</v>
      </c>
      <c r="D163" s="34" t="n">
        <v>650000</v>
      </c>
      <c r="E163" s="33" t="n">
        <v>1</v>
      </c>
      <c r="F163" s="34" t="n">
        <f aca="false">D163*E163</f>
        <v>650000</v>
      </c>
      <c r="G163" s="33" t="s">
        <v>54</v>
      </c>
      <c r="H163" s="33" t="str">
        <f aca="false">INDEX(Products!$C$2:$C$51,MATCH(C163,Products!$B$2:$B$51,0))</f>
        <v>Cruiser</v>
      </c>
    </row>
    <row r="164" customFormat="false" ht="15" hidden="false" customHeight="false" outlineLevel="0" collapsed="false">
      <c r="A164" s="32" t="n">
        <v>45822</v>
      </c>
      <c r="B164" s="33" t="s">
        <v>53</v>
      </c>
      <c r="C164" s="33" t="s">
        <v>115</v>
      </c>
      <c r="D164" s="34" t="n">
        <v>289000</v>
      </c>
      <c r="E164" s="33" t="n">
        <v>18</v>
      </c>
      <c r="F164" s="34" t="n">
        <f aca="false">D164*E164</f>
        <v>5202000</v>
      </c>
      <c r="G164" s="33" t="s">
        <v>57</v>
      </c>
      <c r="H164" s="33" t="str">
        <f aca="false">INDEX(Products!$C$2:$C$51,MATCH(C164,Products!$B$2:$B$51,0))</f>
        <v>Scooter</v>
      </c>
    </row>
    <row r="165" customFormat="false" ht="15" hidden="false" customHeight="false" outlineLevel="0" collapsed="false">
      <c r="A165" s="32" t="n">
        <v>45822</v>
      </c>
      <c r="B165" s="33" t="s">
        <v>53</v>
      </c>
      <c r="C165" s="33" t="s">
        <v>128</v>
      </c>
      <c r="D165" s="34" t="n">
        <v>68900</v>
      </c>
      <c r="E165" s="33" t="n">
        <v>5</v>
      </c>
      <c r="F165" s="34" t="n">
        <f aca="false">D165*E165</f>
        <v>344500</v>
      </c>
      <c r="G165" s="33" t="s">
        <v>54</v>
      </c>
      <c r="H165" s="33" t="str">
        <f aca="false">INDEX(Products!$C$2:$C$51,MATCH(C165,Products!$B$2:$B$51,0))</f>
        <v>Standard</v>
      </c>
    </row>
    <row r="166" customFormat="false" ht="15" hidden="false" customHeight="false" outlineLevel="0" collapsed="false">
      <c r="A166" s="32" t="n">
        <v>45822</v>
      </c>
      <c r="B166" s="33" t="s">
        <v>49</v>
      </c>
      <c r="C166" s="33" t="s">
        <v>51</v>
      </c>
      <c r="D166" s="34" t="n">
        <v>689000</v>
      </c>
      <c r="E166" s="33" t="n">
        <v>21</v>
      </c>
      <c r="F166" s="34" t="n">
        <f aca="false">D166*E166</f>
        <v>14469000</v>
      </c>
      <c r="G166" s="33" t="s">
        <v>54</v>
      </c>
      <c r="H166" s="33" t="str">
        <f aca="false">INDEX(Products!$C$2:$C$51,MATCH(C166,Products!$B$2:$B$51,0))</f>
        <v>Heritage</v>
      </c>
    </row>
    <row r="167" customFormat="false" ht="15" hidden="false" customHeight="false" outlineLevel="0" collapsed="false">
      <c r="A167" s="32" t="n">
        <v>45822</v>
      </c>
      <c r="B167" s="33" t="s">
        <v>53</v>
      </c>
      <c r="C167" s="33" t="s">
        <v>109</v>
      </c>
      <c r="D167" s="34" t="n">
        <v>178000</v>
      </c>
      <c r="E167" s="33" t="n">
        <v>40</v>
      </c>
      <c r="F167" s="34" t="n">
        <f aca="false">D167*E167</f>
        <v>7120000</v>
      </c>
      <c r="G167" s="33" t="s">
        <v>50</v>
      </c>
      <c r="H167" s="33" t="str">
        <f aca="false">INDEX(Products!$C$2:$C$51,MATCH(C167,Products!$B$2:$B$51,0))</f>
        <v>Naked Bike</v>
      </c>
    </row>
    <row r="168" customFormat="false" ht="15" hidden="false" customHeight="false" outlineLevel="0" collapsed="false">
      <c r="A168" s="32" t="n">
        <v>45822</v>
      </c>
      <c r="B168" s="33" t="s">
        <v>49</v>
      </c>
      <c r="C168" s="33" t="s">
        <v>116</v>
      </c>
      <c r="D168" s="34" t="n">
        <v>219000</v>
      </c>
      <c r="E168" s="33" t="n">
        <v>22</v>
      </c>
      <c r="F168" s="34" t="n">
        <f aca="false">D168*E168</f>
        <v>4818000</v>
      </c>
      <c r="G168" s="33" t="s">
        <v>57</v>
      </c>
      <c r="H168" s="33" t="str">
        <f aca="false">INDEX(Products!$C$2:$C$51,MATCH(C168,Products!$B$2:$B$51,0))</f>
        <v>Scooter</v>
      </c>
    </row>
    <row r="169" customFormat="false" ht="15" hidden="false" customHeight="false" outlineLevel="0" collapsed="false">
      <c r="A169" s="32" t="n">
        <v>45823</v>
      </c>
      <c r="B169" s="33" t="s">
        <v>53</v>
      </c>
      <c r="C169" s="33" t="s">
        <v>127</v>
      </c>
      <c r="D169" s="34" t="n">
        <v>199900</v>
      </c>
      <c r="E169" s="33" t="n">
        <v>41</v>
      </c>
      <c r="F169" s="34" t="n">
        <f aca="false">D169*E169</f>
        <v>8195900</v>
      </c>
      <c r="G169" s="33" t="s">
        <v>57</v>
      </c>
      <c r="H169" s="33" t="str">
        <f aca="false">INDEX(Products!$C$2:$C$51,MATCH(C169,Products!$B$2:$B$51,0))</f>
        <v>Sport Touring</v>
      </c>
    </row>
    <row r="170" customFormat="false" ht="15" hidden="false" customHeight="false" outlineLevel="0" collapsed="false">
      <c r="A170" s="32" t="n">
        <v>45823</v>
      </c>
      <c r="B170" s="33" t="s">
        <v>56</v>
      </c>
      <c r="C170" s="33" t="s">
        <v>110</v>
      </c>
      <c r="D170" s="34" t="n">
        <v>178000</v>
      </c>
      <c r="E170" s="33" t="n">
        <v>15</v>
      </c>
      <c r="F170" s="34" t="n">
        <f aca="false">D170*E170</f>
        <v>2670000</v>
      </c>
      <c r="G170" s="33" t="s">
        <v>57</v>
      </c>
      <c r="H170" s="33" t="str">
        <f aca="false">INDEX(Products!$C$2:$C$51,MATCH(C170,Products!$B$2:$B$51,0))</f>
        <v>Naked Bike</v>
      </c>
    </row>
    <row r="171" customFormat="false" ht="15" hidden="false" customHeight="false" outlineLevel="0" collapsed="false">
      <c r="A171" s="32" t="n">
        <v>45823</v>
      </c>
      <c r="B171" s="33" t="s">
        <v>53</v>
      </c>
      <c r="C171" s="33" t="s">
        <v>127</v>
      </c>
      <c r="D171" s="34" t="n">
        <v>199900</v>
      </c>
      <c r="E171" s="33" t="n">
        <v>41</v>
      </c>
      <c r="F171" s="34" t="n">
        <f aca="false">D171*E171</f>
        <v>8195900</v>
      </c>
      <c r="G171" s="33" t="s">
        <v>54</v>
      </c>
      <c r="H171" s="33" t="str">
        <f aca="false">INDEX(Products!$C$2:$C$51,MATCH(C171,Products!$B$2:$B$51,0))</f>
        <v>Sport Touring</v>
      </c>
    </row>
    <row r="172" customFormat="false" ht="15" hidden="false" customHeight="false" outlineLevel="0" collapsed="false">
      <c r="A172" s="32" t="n">
        <v>45823</v>
      </c>
      <c r="B172" s="33" t="s">
        <v>49</v>
      </c>
      <c r="C172" s="33" t="s">
        <v>104</v>
      </c>
      <c r="D172" s="34" t="n">
        <v>499000</v>
      </c>
      <c r="E172" s="33" t="n">
        <v>19</v>
      </c>
      <c r="F172" s="34" t="n">
        <f aca="false">D172*E172</f>
        <v>9481000</v>
      </c>
      <c r="G172" s="33" t="s">
        <v>54</v>
      </c>
      <c r="H172" s="33" t="str">
        <f aca="false">INDEX(Products!$C$2:$C$51,MATCH(C172,Products!$B$2:$B$51,0))</f>
        <v>Cruiser</v>
      </c>
    </row>
    <row r="173" customFormat="false" ht="15" hidden="false" customHeight="false" outlineLevel="0" collapsed="false">
      <c r="A173" s="32" t="n">
        <v>45823</v>
      </c>
      <c r="B173" s="33" t="s">
        <v>49</v>
      </c>
      <c r="C173" s="33" t="s">
        <v>71</v>
      </c>
      <c r="D173" s="34" t="n">
        <v>165000</v>
      </c>
      <c r="E173" s="33" t="n">
        <v>35</v>
      </c>
      <c r="F173" s="34" t="n">
        <f aca="false">D173*E173</f>
        <v>5775000</v>
      </c>
      <c r="G173" s="33" t="s">
        <v>57</v>
      </c>
      <c r="H173" s="33" t="str">
        <f aca="false">INDEX(Products!$C$2:$C$51,MATCH(C173,Products!$B$2:$B$51,0))</f>
        <v>Naked Bike</v>
      </c>
    </row>
    <row r="174" customFormat="false" ht="15" hidden="false" customHeight="false" outlineLevel="0" collapsed="false">
      <c r="A174" s="32" t="n">
        <v>45823</v>
      </c>
      <c r="B174" s="33" t="s">
        <v>53</v>
      </c>
      <c r="C174" s="33" t="s">
        <v>123</v>
      </c>
      <c r="D174" s="34" t="n">
        <v>79900</v>
      </c>
      <c r="E174" s="33" t="n">
        <v>7</v>
      </c>
      <c r="F174" s="34" t="n">
        <f aca="false">D174*E174</f>
        <v>559300</v>
      </c>
      <c r="G174" s="33" t="s">
        <v>50</v>
      </c>
      <c r="H174" s="33" t="str">
        <f aca="false">INDEX(Products!$C$2:$C$51,MATCH(C174,Products!$B$2:$B$51,0))</f>
        <v>Scooter</v>
      </c>
    </row>
    <row r="175" customFormat="false" ht="15" hidden="false" customHeight="false" outlineLevel="0" collapsed="false">
      <c r="A175" s="32" t="n">
        <v>45823</v>
      </c>
      <c r="B175" s="33" t="s">
        <v>49</v>
      </c>
      <c r="C175" s="33" t="s">
        <v>121</v>
      </c>
      <c r="D175" s="34" t="n">
        <v>80900</v>
      </c>
      <c r="E175" s="33" t="n">
        <v>10</v>
      </c>
      <c r="F175" s="34" t="n">
        <f aca="false">D175*E175</f>
        <v>809000</v>
      </c>
      <c r="G175" s="33" t="s">
        <v>50</v>
      </c>
      <c r="H175" s="33" t="str">
        <f aca="false">INDEX(Products!$C$2:$C$51,MATCH(C175,Products!$B$2:$B$51,0))</f>
        <v>Scooter</v>
      </c>
    </row>
    <row r="176" customFormat="false" ht="15" hidden="false" customHeight="false" outlineLevel="0" collapsed="false">
      <c r="A176" s="32" t="n">
        <v>45823</v>
      </c>
      <c r="B176" s="33" t="s">
        <v>49</v>
      </c>
      <c r="C176" s="33" t="s">
        <v>112</v>
      </c>
      <c r="D176" s="34" t="n">
        <v>125000</v>
      </c>
      <c r="E176" s="33" t="n">
        <v>1</v>
      </c>
      <c r="F176" s="34" t="n">
        <f aca="false">D176*E176</f>
        <v>125000</v>
      </c>
      <c r="G176" s="33" t="s">
        <v>57</v>
      </c>
      <c r="H176" s="33" t="str">
        <f aca="false">INDEX(Products!$C$2:$C$51,MATCH(C176,Products!$B$2:$B$51,0))</f>
        <v>Naked Bike</v>
      </c>
    </row>
    <row r="177" customFormat="false" ht="15" hidden="false" customHeight="false" outlineLevel="0" collapsed="false">
      <c r="A177" s="32" t="n">
        <v>45823</v>
      </c>
      <c r="B177" s="33" t="s">
        <v>49</v>
      </c>
      <c r="C177" s="33" t="s">
        <v>63</v>
      </c>
      <c r="D177" s="34" t="n">
        <v>99900</v>
      </c>
      <c r="E177" s="33" t="n">
        <v>16</v>
      </c>
      <c r="F177" s="34" t="n">
        <f aca="false">D177*E177</f>
        <v>1598400</v>
      </c>
      <c r="G177" s="33" t="s">
        <v>54</v>
      </c>
      <c r="H177" s="33" t="str">
        <f aca="false">INDEX(Products!$C$2:$C$51,MATCH(C177,Products!$B$2:$B$51,0))</f>
        <v>Street</v>
      </c>
    </row>
    <row r="178" customFormat="false" ht="15" hidden="false" customHeight="false" outlineLevel="0" collapsed="false">
      <c r="A178" s="32" t="n">
        <v>45823</v>
      </c>
      <c r="B178" s="33" t="s">
        <v>53</v>
      </c>
      <c r="C178" s="33" t="s">
        <v>63</v>
      </c>
      <c r="D178" s="34" t="n">
        <v>99900</v>
      </c>
      <c r="E178" s="33" t="n">
        <v>18</v>
      </c>
      <c r="F178" s="34" t="n">
        <f aca="false">D178*E178</f>
        <v>1798200</v>
      </c>
      <c r="G178" s="33" t="s">
        <v>50</v>
      </c>
      <c r="H178" s="33" t="str">
        <f aca="false">INDEX(Products!$C$2:$C$51,MATCH(C178,Products!$B$2:$B$51,0))</f>
        <v>Street</v>
      </c>
    </row>
    <row r="179" customFormat="false" ht="15" hidden="false" customHeight="false" outlineLevel="0" collapsed="false">
      <c r="A179" s="32" t="n">
        <v>45824</v>
      </c>
      <c r="B179" s="33" t="s">
        <v>53</v>
      </c>
      <c r="C179" s="33" t="s">
        <v>67</v>
      </c>
      <c r="D179" s="34" t="n">
        <v>250000</v>
      </c>
      <c r="E179" s="33" t="n">
        <v>5</v>
      </c>
      <c r="F179" s="34" t="n">
        <f aca="false">D179*E179</f>
        <v>1250000</v>
      </c>
      <c r="G179" s="33" t="s">
        <v>54</v>
      </c>
      <c r="H179" s="33" t="str">
        <f aca="false">INDEX(Products!$C$2:$C$51,MATCH(C179,Products!$B$2:$B$51,0))</f>
        <v>Classic</v>
      </c>
    </row>
    <row r="180" customFormat="false" ht="15" hidden="false" customHeight="false" outlineLevel="0" collapsed="false">
      <c r="A180" s="32" t="n">
        <v>45824</v>
      </c>
      <c r="B180" s="33" t="s">
        <v>49</v>
      </c>
      <c r="C180" s="33" t="s">
        <v>59</v>
      </c>
      <c r="D180" s="34" t="n">
        <v>165000</v>
      </c>
      <c r="E180" s="33" t="n">
        <v>13</v>
      </c>
      <c r="F180" s="34" t="n">
        <f aca="false">D180*E180</f>
        <v>2145000</v>
      </c>
      <c r="G180" s="33" t="s">
        <v>50</v>
      </c>
      <c r="H180" s="33" t="str">
        <f aca="false">INDEX(Products!$C$2:$C$51,MATCH(C180,Products!$B$2:$B$51,0))</f>
        <v>Sport</v>
      </c>
    </row>
    <row r="181" customFormat="false" ht="15" hidden="false" customHeight="false" outlineLevel="0" collapsed="false">
      <c r="A181" s="32" t="n">
        <v>45824</v>
      </c>
      <c r="B181" s="33" t="s">
        <v>49</v>
      </c>
      <c r="C181" s="33" t="s">
        <v>131</v>
      </c>
      <c r="D181" s="34" t="n">
        <v>72900</v>
      </c>
      <c r="E181" s="33" t="n">
        <v>19</v>
      </c>
      <c r="F181" s="34" t="n">
        <f aca="false">D181*E181</f>
        <v>1385100</v>
      </c>
      <c r="G181" s="33" t="s">
        <v>50</v>
      </c>
      <c r="H181" s="33" t="str">
        <f aca="false">INDEX(Products!$C$2:$C$51,MATCH(C181,Products!$B$2:$B$51,0))</f>
        <v>Underbone</v>
      </c>
    </row>
    <row r="182" customFormat="false" ht="15" hidden="false" customHeight="false" outlineLevel="0" collapsed="false">
      <c r="A182" s="32" t="n">
        <v>45824</v>
      </c>
      <c r="B182" s="33" t="s">
        <v>49</v>
      </c>
      <c r="C182" s="33" t="s">
        <v>100</v>
      </c>
      <c r="D182" s="34" t="n">
        <v>78900</v>
      </c>
      <c r="E182" s="33" t="n">
        <v>5</v>
      </c>
      <c r="F182" s="34" t="n">
        <f aca="false">D182*E182</f>
        <v>394500</v>
      </c>
      <c r="G182" s="33" t="s">
        <v>54</v>
      </c>
      <c r="H182" s="33" t="str">
        <f aca="false">INDEX(Products!$C$2:$C$51,MATCH(C182,Products!$B$2:$B$51,0))</f>
        <v>Adventure</v>
      </c>
    </row>
    <row r="183" customFormat="false" ht="15" hidden="false" customHeight="false" outlineLevel="0" collapsed="false">
      <c r="A183" s="32" t="n">
        <v>45824</v>
      </c>
      <c r="B183" s="33" t="s">
        <v>49</v>
      </c>
      <c r="C183" s="33" t="s">
        <v>103</v>
      </c>
      <c r="D183" s="34" t="n">
        <v>48000</v>
      </c>
      <c r="E183" s="33" t="n">
        <v>14</v>
      </c>
      <c r="F183" s="34" t="n">
        <f aca="false">D183*E183</f>
        <v>672000</v>
      </c>
      <c r="G183" s="33" t="s">
        <v>57</v>
      </c>
      <c r="H183" s="33" t="str">
        <f aca="false">INDEX(Products!$C$2:$C$51,MATCH(C183,Products!$B$2:$B$51,0))</f>
        <v>Commuter</v>
      </c>
    </row>
    <row r="184" customFormat="false" ht="15" hidden="false" customHeight="false" outlineLevel="0" collapsed="false">
      <c r="A184" s="32" t="n">
        <v>45824</v>
      </c>
      <c r="B184" s="33" t="s">
        <v>49</v>
      </c>
      <c r="C184" s="33" t="s">
        <v>64</v>
      </c>
      <c r="D184" s="34" t="n">
        <v>248000</v>
      </c>
      <c r="E184" s="33" t="n">
        <v>50</v>
      </c>
      <c r="F184" s="34" t="n">
        <f aca="false">D184*E184</f>
        <v>12400000</v>
      </c>
      <c r="G184" s="33" t="s">
        <v>57</v>
      </c>
      <c r="H184" s="33" t="str">
        <f aca="false">INDEX(Products!$C$2:$C$51,MATCH(C184,Products!$B$2:$B$51,0))</f>
        <v>Adventure</v>
      </c>
    </row>
    <row r="185" customFormat="false" ht="15" hidden="false" customHeight="false" outlineLevel="0" collapsed="false">
      <c r="A185" s="32" t="n">
        <v>45824</v>
      </c>
      <c r="B185" s="33" t="s">
        <v>49</v>
      </c>
      <c r="C185" s="33" t="s">
        <v>63</v>
      </c>
      <c r="D185" s="34" t="n">
        <v>99900</v>
      </c>
      <c r="E185" s="33" t="n">
        <v>12</v>
      </c>
      <c r="F185" s="34" t="n">
        <f aca="false">D185*E185</f>
        <v>1198800</v>
      </c>
      <c r="G185" s="33" t="s">
        <v>57</v>
      </c>
      <c r="H185" s="33" t="str">
        <f aca="false">INDEX(Products!$C$2:$C$51,MATCH(C185,Products!$B$2:$B$51,0))</f>
        <v>Street</v>
      </c>
    </row>
    <row r="186" customFormat="false" ht="15" hidden="false" customHeight="false" outlineLevel="0" collapsed="false">
      <c r="A186" s="32" t="n">
        <v>45824</v>
      </c>
      <c r="B186" s="33" t="s">
        <v>53</v>
      </c>
      <c r="C186" s="33" t="s">
        <v>109</v>
      </c>
      <c r="D186" s="34" t="n">
        <v>178000</v>
      </c>
      <c r="E186" s="33" t="n">
        <v>36</v>
      </c>
      <c r="F186" s="34" t="n">
        <f aca="false">D186*E186</f>
        <v>6408000</v>
      </c>
      <c r="G186" s="33" t="s">
        <v>54</v>
      </c>
      <c r="H186" s="33" t="str">
        <f aca="false">INDEX(Products!$C$2:$C$51,MATCH(C186,Products!$B$2:$B$51,0))</f>
        <v>Naked Bike</v>
      </c>
    </row>
    <row r="187" customFormat="false" ht="15" hidden="false" customHeight="false" outlineLevel="0" collapsed="false">
      <c r="A187" s="32" t="n">
        <v>45824</v>
      </c>
      <c r="B187" s="33" t="s">
        <v>53</v>
      </c>
      <c r="C187" s="33" t="s">
        <v>55</v>
      </c>
      <c r="D187" s="34" t="n">
        <v>67900</v>
      </c>
      <c r="E187" s="33" t="n">
        <v>10</v>
      </c>
      <c r="F187" s="34" t="n">
        <f aca="false">D187*E187</f>
        <v>679000</v>
      </c>
      <c r="G187" s="33" t="s">
        <v>57</v>
      </c>
      <c r="H187" s="33" t="str">
        <f aca="false">INDEX(Products!$C$2:$C$51,MATCH(C187,Products!$B$2:$B$51,0))</f>
        <v>Commuter</v>
      </c>
    </row>
    <row r="188" customFormat="false" ht="15" hidden="false" customHeight="false" outlineLevel="0" collapsed="false">
      <c r="A188" s="32" t="n">
        <v>45824</v>
      </c>
      <c r="B188" s="33" t="s">
        <v>53</v>
      </c>
      <c r="C188" s="33" t="s">
        <v>122</v>
      </c>
      <c r="D188" s="34" t="n">
        <v>80900</v>
      </c>
      <c r="E188" s="33" t="n">
        <v>16</v>
      </c>
      <c r="F188" s="34" t="n">
        <f aca="false">D188*E188</f>
        <v>1294400</v>
      </c>
      <c r="G188" s="33" t="s">
        <v>57</v>
      </c>
      <c r="H188" s="33" t="str">
        <f aca="false">INDEX(Products!$C$2:$C$51,MATCH(C188,Products!$B$2:$B$51,0))</f>
        <v>Scooter</v>
      </c>
    </row>
    <row r="189" customFormat="false" ht="15" hidden="false" customHeight="false" outlineLevel="0" collapsed="false">
      <c r="A189" s="32" t="n">
        <v>45824</v>
      </c>
      <c r="B189" s="33" t="s">
        <v>49</v>
      </c>
      <c r="C189" s="33" t="s">
        <v>55</v>
      </c>
      <c r="D189" s="34" t="n">
        <v>67900</v>
      </c>
      <c r="E189" s="33" t="n">
        <v>13</v>
      </c>
      <c r="F189" s="34" t="n">
        <f aca="false">D189*E189</f>
        <v>882700</v>
      </c>
      <c r="G189" s="33" t="s">
        <v>50</v>
      </c>
      <c r="H189" s="33" t="str">
        <f aca="false">INDEX(Products!$C$2:$C$51,MATCH(C189,Products!$B$2:$B$51,0))</f>
        <v>Commuter</v>
      </c>
    </row>
    <row r="190" customFormat="false" ht="15" hidden="false" customHeight="false" outlineLevel="0" collapsed="false">
      <c r="A190" s="32" t="n">
        <v>45824</v>
      </c>
      <c r="B190" s="33" t="s">
        <v>49</v>
      </c>
      <c r="C190" s="33" t="s">
        <v>63</v>
      </c>
      <c r="D190" s="34" t="n">
        <v>99900</v>
      </c>
      <c r="E190" s="33" t="n">
        <v>19</v>
      </c>
      <c r="F190" s="34" t="n">
        <f aca="false">D190*E190</f>
        <v>1898100</v>
      </c>
      <c r="G190" s="33" t="s">
        <v>50</v>
      </c>
      <c r="H190" s="33" t="str">
        <f aca="false">INDEX(Products!$C$2:$C$51,MATCH(C190,Products!$B$2:$B$51,0))</f>
        <v>Street</v>
      </c>
    </row>
    <row r="191" customFormat="false" ht="15" hidden="false" customHeight="false" outlineLevel="0" collapsed="false">
      <c r="A191" s="32" t="n">
        <v>45824</v>
      </c>
      <c r="B191" s="33" t="s">
        <v>53</v>
      </c>
      <c r="C191" s="33" t="s">
        <v>126</v>
      </c>
      <c r="D191" s="34" t="n">
        <v>198000</v>
      </c>
      <c r="E191" s="33" t="n">
        <v>37</v>
      </c>
      <c r="F191" s="34" t="n">
        <f aca="false">D191*E191</f>
        <v>7326000</v>
      </c>
      <c r="G191" s="33" t="s">
        <v>50</v>
      </c>
      <c r="H191" s="33" t="str">
        <f aca="false">INDEX(Products!$C$2:$C$51,MATCH(C191,Products!$B$2:$B$51,0))</f>
        <v>Sport</v>
      </c>
    </row>
    <row r="192" customFormat="false" ht="15" hidden="false" customHeight="false" outlineLevel="0" collapsed="false">
      <c r="A192" s="32" t="n">
        <v>45825</v>
      </c>
      <c r="B192" s="33" t="s">
        <v>53</v>
      </c>
      <c r="C192" s="33" t="s">
        <v>109</v>
      </c>
      <c r="D192" s="34" t="n">
        <v>178000</v>
      </c>
      <c r="E192" s="33" t="n">
        <v>39</v>
      </c>
      <c r="F192" s="34" t="n">
        <f aca="false">D192*E192</f>
        <v>6942000</v>
      </c>
      <c r="G192" s="33" t="s">
        <v>54</v>
      </c>
      <c r="H192" s="33" t="str">
        <f aca="false">INDEX(Products!$C$2:$C$51,MATCH(C192,Products!$B$2:$B$51,0))</f>
        <v>Naked Bike</v>
      </c>
    </row>
    <row r="193" customFormat="false" ht="15" hidden="false" customHeight="false" outlineLevel="0" collapsed="false">
      <c r="A193" s="32" t="n">
        <v>45825</v>
      </c>
      <c r="B193" s="33" t="s">
        <v>53</v>
      </c>
      <c r="C193" s="33" t="s">
        <v>100</v>
      </c>
      <c r="D193" s="34" t="n">
        <v>78900</v>
      </c>
      <c r="E193" s="33" t="n">
        <v>43</v>
      </c>
      <c r="F193" s="34" t="n">
        <f aca="false">D193*E193</f>
        <v>3392700</v>
      </c>
      <c r="G193" s="33" t="s">
        <v>54</v>
      </c>
      <c r="H193" s="33" t="str">
        <f aca="false">INDEX(Products!$C$2:$C$51,MATCH(C193,Products!$B$2:$B$51,0))</f>
        <v>Adventure</v>
      </c>
    </row>
    <row r="194" customFormat="false" ht="15" hidden="false" customHeight="false" outlineLevel="0" collapsed="false">
      <c r="A194" s="32" t="n">
        <v>45825</v>
      </c>
      <c r="B194" s="33" t="s">
        <v>49</v>
      </c>
      <c r="C194" s="33" t="s">
        <v>117</v>
      </c>
      <c r="D194" s="34" t="n">
        <v>210000</v>
      </c>
      <c r="E194" s="33" t="n">
        <v>48</v>
      </c>
      <c r="F194" s="34" t="n">
        <f aca="false">D194*E194</f>
        <v>10080000</v>
      </c>
      <c r="G194" s="33" t="s">
        <v>56</v>
      </c>
      <c r="H194" s="33" t="str">
        <f aca="false">INDEX(Products!$C$2:$C$51,MATCH(C194,Products!$B$2:$B$51,0))</f>
        <v>Scooter</v>
      </c>
    </row>
    <row r="195" customFormat="false" ht="15" hidden="false" customHeight="false" outlineLevel="0" collapsed="false">
      <c r="A195" s="32" t="n">
        <v>45825</v>
      </c>
      <c r="B195" s="33" t="s">
        <v>49</v>
      </c>
      <c r="C195" s="33" t="s">
        <v>126</v>
      </c>
      <c r="D195" s="34" t="n">
        <v>198000</v>
      </c>
      <c r="E195" s="33" t="n">
        <v>15</v>
      </c>
      <c r="F195" s="34" t="n">
        <f aca="false">D195*E195</f>
        <v>2970000</v>
      </c>
      <c r="G195" s="33" t="s">
        <v>54</v>
      </c>
      <c r="H195" s="33" t="str">
        <f aca="false">INDEX(Products!$C$2:$C$51,MATCH(C195,Products!$B$2:$B$51,0))</f>
        <v>Sport</v>
      </c>
    </row>
    <row r="196" customFormat="false" ht="15" hidden="false" customHeight="false" outlineLevel="0" collapsed="false">
      <c r="A196" s="32" t="n">
        <v>45825</v>
      </c>
      <c r="B196" s="33" t="s">
        <v>53</v>
      </c>
      <c r="C196" s="33" t="s">
        <v>116</v>
      </c>
      <c r="D196" s="34" t="n">
        <v>219000</v>
      </c>
      <c r="E196" s="33" t="n">
        <v>24</v>
      </c>
      <c r="F196" s="34" t="n">
        <f aca="false">D196*E196</f>
        <v>5256000</v>
      </c>
      <c r="G196" s="33" t="s">
        <v>54</v>
      </c>
      <c r="H196" s="33" t="str">
        <f aca="false">INDEX(Products!$C$2:$C$51,MATCH(C196,Products!$B$2:$B$51,0))</f>
        <v>Scooter</v>
      </c>
    </row>
    <row r="197" customFormat="false" ht="15" hidden="false" customHeight="false" outlineLevel="0" collapsed="false">
      <c r="A197" s="32" t="n">
        <v>45825</v>
      </c>
      <c r="B197" s="33" t="s">
        <v>49</v>
      </c>
      <c r="C197" s="33" t="s">
        <v>108</v>
      </c>
      <c r="D197" s="34" t="n">
        <v>331000</v>
      </c>
      <c r="E197" s="33" t="n">
        <v>46</v>
      </c>
      <c r="F197" s="34" t="n">
        <f aca="false">D197*E197</f>
        <v>15226000</v>
      </c>
      <c r="G197" s="33" t="s">
        <v>50</v>
      </c>
      <c r="H197" s="33" t="str">
        <f aca="false">INDEX(Products!$C$2:$C$51,MATCH(C197,Products!$B$2:$B$51,0))</f>
        <v>Naked Bike</v>
      </c>
    </row>
    <row r="198" customFormat="false" ht="15" hidden="false" customHeight="false" outlineLevel="0" collapsed="false">
      <c r="A198" s="32" t="n">
        <v>45825</v>
      </c>
      <c r="B198" s="33" t="s">
        <v>49</v>
      </c>
      <c r="C198" s="33" t="s">
        <v>105</v>
      </c>
      <c r="D198" s="34" t="n">
        <v>349000</v>
      </c>
      <c r="E198" s="33" t="n">
        <v>41</v>
      </c>
      <c r="F198" s="34" t="n">
        <f aca="false">D198*E198</f>
        <v>14309000</v>
      </c>
      <c r="G198" s="33" t="s">
        <v>50</v>
      </c>
      <c r="H198" s="33" t="str">
        <f aca="false">INDEX(Products!$C$2:$C$51,MATCH(C198,Products!$B$2:$B$51,0))</f>
        <v>Cruiser</v>
      </c>
    </row>
    <row r="199" customFormat="false" ht="15" hidden="false" customHeight="false" outlineLevel="0" collapsed="false">
      <c r="A199" s="32" t="n">
        <v>45825</v>
      </c>
      <c r="B199" s="33" t="s">
        <v>53</v>
      </c>
      <c r="C199" s="33" t="s">
        <v>123</v>
      </c>
      <c r="D199" s="34" t="n">
        <v>79900</v>
      </c>
      <c r="E199" s="33" t="n">
        <v>14</v>
      </c>
      <c r="F199" s="34" t="n">
        <f aca="false">D199*E199</f>
        <v>1118600</v>
      </c>
      <c r="G199" s="33" t="s">
        <v>50</v>
      </c>
      <c r="H199" s="33" t="str">
        <f aca="false">INDEX(Products!$C$2:$C$51,MATCH(C199,Products!$B$2:$B$51,0))</f>
        <v>Scooter</v>
      </c>
    </row>
    <row r="200" customFormat="false" ht="15" hidden="false" customHeight="false" outlineLevel="0" collapsed="false">
      <c r="A200" s="32" t="n">
        <v>45825</v>
      </c>
      <c r="B200" s="33" t="s">
        <v>49</v>
      </c>
      <c r="C200" s="33" t="s">
        <v>64</v>
      </c>
      <c r="D200" s="34" t="n">
        <v>248000</v>
      </c>
      <c r="E200" s="33" t="n">
        <v>15</v>
      </c>
      <c r="F200" s="34" t="n">
        <f aca="false">D200*E200</f>
        <v>3720000</v>
      </c>
      <c r="G200" s="33" t="s">
        <v>50</v>
      </c>
      <c r="H200" s="33" t="str">
        <f aca="false">INDEX(Products!$C$2:$C$51,MATCH(C200,Products!$B$2:$B$51,0))</f>
        <v>Adventure</v>
      </c>
    </row>
    <row r="201" customFormat="false" ht="15" hidden="false" customHeight="false" outlineLevel="0" collapsed="false">
      <c r="A201" s="32" t="n">
        <v>45825</v>
      </c>
      <c r="B201" s="33" t="s">
        <v>53</v>
      </c>
      <c r="C201" s="33" t="s">
        <v>131</v>
      </c>
      <c r="D201" s="34" t="n">
        <v>72900</v>
      </c>
      <c r="E201" s="33" t="n">
        <v>32</v>
      </c>
      <c r="F201" s="34" t="n">
        <f aca="false">D201*E201</f>
        <v>2332800</v>
      </c>
      <c r="G201" s="33" t="s">
        <v>54</v>
      </c>
      <c r="H201" s="33" t="str">
        <f aca="false">INDEX(Products!$C$2:$C$51,MATCH(C201,Products!$B$2:$B$51,0))</f>
        <v>Underbone</v>
      </c>
    </row>
    <row r="202" customFormat="false" ht="15" hidden="false" customHeight="false" outlineLevel="0" collapsed="false">
      <c r="A202" s="32" t="n">
        <v>45825</v>
      </c>
      <c r="B202" s="33" t="s">
        <v>49</v>
      </c>
      <c r="C202" s="33" t="s">
        <v>102</v>
      </c>
      <c r="D202" s="34" t="n">
        <v>269000</v>
      </c>
      <c r="E202" s="33" t="n">
        <v>1</v>
      </c>
      <c r="F202" s="34" t="n">
        <f aca="false">D202*E202</f>
        <v>269000</v>
      </c>
      <c r="G202" s="33" t="s">
        <v>54</v>
      </c>
      <c r="H202" s="33" t="str">
        <f aca="false">INDEX(Products!$C$2:$C$51,MATCH(C202,Products!$B$2:$B$51,0))</f>
        <v>Cafe Racer</v>
      </c>
    </row>
    <row r="203" customFormat="false" ht="15" hidden="false" customHeight="false" outlineLevel="0" collapsed="false">
      <c r="A203" s="32" t="n">
        <v>45825</v>
      </c>
      <c r="B203" s="33" t="s">
        <v>49</v>
      </c>
      <c r="C203" s="33" t="s">
        <v>124</v>
      </c>
      <c r="D203" s="34" t="n">
        <v>295000</v>
      </c>
      <c r="E203" s="33" t="n">
        <v>20</v>
      </c>
      <c r="F203" s="34" t="n">
        <f aca="false">D203*E203</f>
        <v>5900000</v>
      </c>
      <c r="G203" s="33" t="s">
        <v>50</v>
      </c>
      <c r="H203" s="33" t="str">
        <f aca="false">INDEX(Products!$C$2:$C$51,MATCH(C203,Products!$B$2:$B$51,0))</f>
        <v>Scrambler</v>
      </c>
    </row>
    <row r="204" customFormat="false" ht="15" hidden="false" customHeight="false" outlineLevel="0" collapsed="false">
      <c r="A204" s="32" t="n">
        <v>45825</v>
      </c>
      <c r="B204" s="33" t="s">
        <v>53</v>
      </c>
      <c r="C204" s="33" t="s">
        <v>131</v>
      </c>
      <c r="D204" s="34" t="n">
        <v>72900</v>
      </c>
      <c r="E204" s="33" t="n">
        <v>14</v>
      </c>
      <c r="F204" s="34" t="n">
        <f aca="false">D204*E204</f>
        <v>1020600</v>
      </c>
      <c r="G204" s="33" t="s">
        <v>57</v>
      </c>
      <c r="H204" s="33" t="str">
        <f aca="false">INDEX(Products!$C$2:$C$51,MATCH(C204,Products!$B$2:$B$51,0))</f>
        <v>Underbone</v>
      </c>
    </row>
    <row r="205" customFormat="false" ht="15" hidden="false" customHeight="false" outlineLevel="0" collapsed="false">
      <c r="A205" s="32" t="n">
        <v>45825</v>
      </c>
      <c r="B205" s="33" t="s">
        <v>53</v>
      </c>
      <c r="C205" s="33" t="s">
        <v>65</v>
      </c>
      <c r="D205" s="34" t="n">
        <v>345000</v>
      </c>
      <c r="E205" s="33" t="n">
        <v>19</v>
      </c>
      <c r="F205" s="34" t="n">
        <f aca="false">D205*E205</f>
        <v>6555000</v>
      </c>
      <c r="G205" s="33" t="s">
        <v>54</v>
      </c>
      <c r="H205" s="33" t="str">
        <f aca="false">INDEX(Products!$C$2:$C$51,MATCH(C205,Products!$B$2:$B$51,0))</f>
        <v>Touring</v>
      </c>
    </row>
    <row r="206" customFormat="false" ht="15" hidden="false" customHeight="false" outlineLevel="0" collapsed="false">
      <c r="A206" s="32" t="n">
        <v>45825</v>
      </c>
      <c r="B206" s="33" t="s">
        <v>53</v>
      </c>
      <c r="C206" s="33" t="s">
        <v>119</v>
      </c>
      <c r="D206" s="34" t="n">
        <v>128000</v>
      </c>
      <c r="E206" s="33" t="n">
        <v>15</v>
      </c>
      <c r="F206" s="34" t="n">
        <f aca="false">D206*E206</f>
        <v>1920000</v>
      </c>
      <c r="G206" s="33" t="s">
        <v>57</v>
      </c>
      <c r="H206" s="33" t="str">
        <f aca="false">INDEX(Products!$C$2:$C$51,MATCH(C206,Products!$B$2:$B$51,0))</f>
        <v>Scooter</v>
      </c>
    </row>
    <row r="207" customFormat="false" ht="15" hidden="false" customHeight="false" outlineLevel="0" collapsed="false">
      <c r="A207" s="32" t="n">
        <v>45826</v>
      </c>
      <c r="B207" s="33" t="s">
        <v>49</v>
      </c>
      <c r="C207" s="33" t="s">
        <v>67</v>
      </c>
      <c r="D207" s="34" t="n">
        <v>250000</v>
      </c>
      <c r="E207" s="33" t="n">
        <v>11</v>
      </c>
      <c r="F207" s="34" t="n">
        <f aca="false">D207*E207</f>
        <v>2750000</v>
      </c>
      <c r="G207" s="33" t="s">
        <v>50</v>
      </c>
      <c r="H207" s="33" t="str">
        <f aca="false">INDEX(Products!$C$2:$C$51,MATCH(C207,Products!$B$2:$B$51,0))</f>
        <v>Classic</v>
      </c>
    </row>
    <row r="208" customFormat="false" ht="15" hidden="false" customHeight="false" outlineLevel="0" collapsed="false">
      <c r="A208" s="32" t="n">
        <v>45826</v>
      </c>
      <c r="B208" s="33" t="s">
        <v>53</v>
      </c>
      <c r="C208" s="33" t="s">
        <v>125</v>
      </c>
      <c r="D208" s="34" t="n">
        <v>340000</v>
      </c>
      <c r="E208" s="33" t="n">
        <v>5</v>
      </c>
      <c r="F208" s="34" t="n">
        <f aca="false">D208*E208</f>
        <v>1700000</v>
      </c>
      <c r="G208" s="33" t="s">
        <v>54</v>
      </c>
      <c r="H208" s="33" t="str">
        <f aca="false">INDEX(Products!$C$2:$C$51,MATCH(C208,Products!$B$2:$B$51,0))</f>
        <v>Sport</v>
      </c>
    </row>
    <row r="209" customFormat="false" ht="15" hidden="false" customHeight="false" outlineLevel="0" collapsed="false">
      <c r="A209" s="32" t="n">
        <v>45826</v>
      </c>
      <c r="B209" s="33" t="s">
        <v>53</v>
      </c>
      <c r="C209" s="33" t="s">
        <v>116</v>
      </c>
      <c r="D209" s="34" t="n">
        <v>219000</v>
      </c>
      <c r="E209" s="33" t="n">
        <v>4</v>
      </c>
      <c r="F209" s="34" t="n">
        <f aca="false">D209*E209</f>
        <v>876000</v>
      </c>
      <c r="G209" s="33" t="s">
        <v>50</v>
      </c>
      <c r="H209" s="33" t="str">
        <f aca="false">INDEX(Products!$C$2:$C$51,MATCH(C209,Products!$B$2:$B$51,0))</f>
        <v>Scooter</v>
      </c>
    </row>
    <row r="210" customFormat="false" ht="15" hidden="false" customHeight="false" outlineLevel="0" collapsed="false">
      <c r="A210" s="32" t="n">
        <v>45826</v>
      </c>
      <c r="B210" s="33" t="s">
        <v>53</v>
      </c>
      <c r="C210" s="33" t="s">
        <v>105</v>
      </c>
      <c r="D210" s="34" t="n">
        <v>349000</v>
      </c>
      <c r="E210" s="33" t="n">
        <v>1</v>
      </c>
      <c r="F210" s="34" t="n">
        <f aca="false">D210*E210</f>
        <v>349000</v>
      </c>
      <c r="G210" s="33" t="s">
        <v>54</v>
      </c>
      <c r="H210" s="33" t="str">
        <f aca="false">INDEX(Products!$C$2:$C$51,MATCH(C210,Products!$B$2:$B$51,0))</f>
        <v>Cruiser</v>
      </c>
    </row>
    <row r="211" customFormat="false" ht="15" hidden="false" customHeight="false" outlineLevel="0" collapsed="false">
      <c r="A211" s="32" t="n">
        <v>45826</v>
      </c>
      <c r="B211" s="33" t="s">
        <v>49</v>
      </c>
      <c r="C211" s="33" t="s">
        <v>125</v>
      </c>
      <c r="D211" s="34" t="n">
        <v>340000</v>
      </c>
      <c r="E211" s="33" t="n">
        <v>9</v>
      </c>
      <c r="F211" s="34" t="n">
        <f aca="false">D211*E211</f>
        <v>3060000</v>
      </c>
      <c r="G211" s="33" t="s">
        <v>50</v>
      </c>
      <c r="H211" s="33" t="str">
        <f aca="false">INDEX(Products!$C$2:$C$51,MATCH(C211,Products!$B$2:$B$51,0))</f>
        <v>Sport</v>
      </c>
    </row>
    <row r="212" customFormat="false" ht="15" hidden="false" customHeight="false" outlineLevel="0" collapsed="false">
      <c r="A212" s="32" t="n">
        <v>45826</v>
      </c>
      <c r="B212" s="33" t="s">
        <v>49</v>
      </c>
      <c r="C212" s="33" t="s">
        <v>129</v>
      </c>
      <c r="D212" s="34" t="n">
        <v>125900</v>
      </c>
      <c r="E212" s="33" t="n">
        <v>18</v>
      </c>
      <c r="F212" s="34" t="n">
        <f aca="false">D212*E212</f>
        <v>2266200</v>
      </c>
      <c r="G212" s="33" t="s">
        <v>57</v>
      </c>
      <c r="H212" s="33" t="str">
        <f aca="false">INDEX(Products!$C$2:$C$51,MATCH(C212,Products!$B$2:$B$51,0))</f>
        <v>Underbone</v>
      </c>
    </row>
    <row r="213" customFormat="false" ht="15" hidden="false" customHeight="false" outlineLevel="0" collapsed="false">
      <c r="A213" s="32" t="n">
        <v>45826</v>
      </c>
      <c r="B213" s="33" t="s">
        <v>53</v>
      </c>
      <c r="C213" s="33" t="s">
        <v>69</v>
      </c>
      <c r="D213" s="34" t="n">
        <v>164900</v>
      </c>
      <c r="E213" s="33" t="n">
        <v>50</v>
      </c>
      <c r="F213" s="34" t="n">
        <f aca="false">D213*E213</f>
        <v>8245000</v>
      </c>
      <c r="G213" s="33" t="s">
        <v>50</v>
      </c>
      <c r="H213" s="33" t="str">
        <f aca="false">INDEX(Products!$C$2:$C$51,MATCH(C213,Products!$B$2:$B$51,0))</f>
        <v>Scooter</v>
      </c>
    </row>
    <row r="214" customFormat="false" ht="15" hidden="false" customHeight="false" outlineLevel="0" collapsed="false">
      <c r="A214" s="32" t="n">
        <v>45826</v>
      </c>
      <c r="B214" s="33" t="s">
        <v>49</v>
      </c>
      <c r="C214" s="33" t="s">
        <v>125</v>
      </c>
      <c r="D214" s="34" t="n">
        <v>340000</v>
      </c>
      <c r="E214" s="33" t="n">
        <v>16</v>
      </c>
      <c r="F214" s="34" t="n">
        <f aca="false">D214*E214</f>
        <v>5440000</v>
      </c>
      <c r="G214" s="33" t="s">
        <v>54</v>
      </c>
      <c r="H214" s="33" t="str">
        <f aca="false">INDEX(Products!$C$2:$C$51,MATCH(C214,Products!$B$2:$B$51,0))</f>
        <v>Sport</v>
      </c>
    </row>
    <row r="215" customFormat="false" ht="15" hidden="false" customHeight="false" outlineLevel="0" collapsed="false">
      <c r="A215" s="32" t="n">
        <v>45827</v>
      </c>
      <c r="B215" s="33" t="s">
        <v>53</v>
      </c>
      <c r="C215" s="33" t="s">
        <v>126</v>
      </c>
      <c r="D215" s="34" t="n">
        <v>198000</v>
      </c>
      <c r="E215" s="33" t="n">
        <v>14</v>
      </c>
      <c r="F215" s="34" t="n">
        <f aca="false">D215*E215</f>
        <v>2772000</v>
      </c>
      <c r="G215" s="33" t="s">
        <v>56</v>
      </c>
      <c r="H215" s="33" t="str">
        <f aca="false">INDEX(Products!$C$2:$C$51,MATCH(C215,Products!$B$2:$B$51,0))</f>
        <v>Sport</v>
      </c>
    </row>
    <row r="216" customFormat="false" ht="15" hidden="false" customHeight="false" outlineLevel="0" collapsed="false">
      <c r="A216" s="32" t="n">
        <v>45827</v>
      </c>
      <c r="B216" s="33" t="s">
        <v>53</v>
      </c>
      <c r="C216" s="33" t="s">
        <v>71</v>
      </c>
      <c r="D216" s="34" t="n">
        <v>165000</v>
      </c>
      <c r="E216" s="33" t="n">
        <v>23</v>
      </c>
      <c r="F216" s="34" t="n">
        <f aca="false">D216*E216</f>
        <v>3795000</v>
      </c>
      <c r="G216" s="33" t="s">
        <v>50</v>
      </c>
      <c r="H216" s="33" t="str">
        <f aca="false">INDEX(Products!$C$2:$C$51,MATCH(C216,Products!$B$2:$B$51,0))</f>
        <v>Naked Bike</v>
      </c>
    </row>
    <row r="217" customFormat="false" ht="15" hidden="false" customHeight="false" outlineLevel="0" collapsed="false">
      <c r="A217" s="32" t="n">
        <v>45827</v>
      </c>
      <c r="B217" s="33" t="s">
        <v>53</v>
      </c>
      <c r="C217" s="33" t="s">
        <v>112</v>
      </c>
      <c r="D217" s="34" t="n">
        <v>125000</v>
      </c>
      <c r="E217" s="33" t="n">
        <v>3</v>
      </c>
      <c r="F217" s="34" t="n">
        <f aca="false">D217*E217</f>
        <v>375000</v>
      </c>
      <c r="G217" s="33" t="s">
        <v>57</v>
      </c>
      <c r="H217" s="33" t="str">
        <f aca="false">INDEX(Products!$C$2:$C$51,MATCH(C217,Products!$B$2:$B$51,0))</f>
        <v>Naked Bike</v>
      </c>
    </row>
    <row r="218" customFormat="false" ht="15" hidden="false" customHeight="false" outlineLevel="0" collapsed="false">
      <c r="A218" s="32" t="n">
        <v>45827</v>
      </c>
      <c r="B218" s="33" t="s">
        <v>53</v>
      </c>
      <c r="C218" s="33" t="s">
        <v>110</v>
      </c>
      <c r="D218" s="34" t="n">
        <v>178000</v>
      </c>
      <c r="E218" s="33" t="n">
        <v>9</v>
      </c>
      <c r="F218" s="34" t="n">
        <f aca="false">D218*E218</f>
        <v>1602000</v>
      </c>
      <c r="G218" s="33" t="s">
        <v>57</v>
      </c>
      <c r="H218" s="33" t="str">
        <f aca="false">INDEX(Products!$C$2:$C$51,MATCH(C218,Products!$B$2:$B$51,0))</f>
        <v>Naked Bike</v>
      </c>
    </row>
    <row r="219" customFormat="false" ht="15" hidden="false" customHeight="false" outlineLevel="0" collapsed="false">
      <c r="A219" s="32" t="n">
        <v>45827</v>
      </c>
      <c r="B219" s="33" t="s">
        <v>53</v>
      </c>
      <c r="C219" s="33" t="s">
        <v>64</v>
      </c>
      <c r="D219" s="34" t="n">
        <v>248000</v>
      </c>
      <c r="E219" s="33" t="n">
        <v>48</v>
      </c>
      <c r="F219" s="34" t="n">
        <f aca="false">D219*E219</f>
        <v>11904000</v>
      </c>
      <c r="G219" s="33" t="s">
        <v>50</v>
      </c>
      <c r="H219" s="33" t="str">
        <f aca="false">INDEX(Products!$C$2:$C$51,MATCH(C219,Products!$B$2:$B$51,0))</f>
        <v>Adventure</v>
      </c>
    </row>
    <row r="220" customFormat="false" ht="15" hidden="false" customHeight="false" outlineLevel="0" collapsed="false">
      <c r="A220" s="32" t="n">
        <v>45827</v>
      </c>
      <c r="B220" s="33" t="s">
        <v>53</v>
      </c>
      <c r="C220" s="33" t="s">
        <v>67</v>
      </c>
      <c r="D220" s="34" t="n">
        <v>250000</v>
      </c>
      <c r="E220" s="33" t="n">
        <v>6</v>
      </c>
      <c r="F220" s="34" t="n">
        <f aca="false">D220*E220</f>
        <v>1500000</v>
      </c>
      <c r="G220" s="33" t="s">
        <v>57</v>
      </c>
      <c r="H220" s="33" t="str">
        <f aca="false">INDEX(Products!$C$2:$C$51,MATCH(C220,Products!$B$2:$B$51,0))</f>
        <v>Classic</v>
      </c>
    </row>
    <row r="221" customFormat="false" ht="15" hidden="false" customHeight="false" outlineLevel="0" collapsed="false">
      <c r="A221" s="32" t="n">
        <v>45827</v>
      </c>
      <c r="B221" s="33" t="s">
        <v>49</v>
      </c>
      <c r="C221" s="33" t="s">
        <v>102</v>
      </c>
      <c r="D221" s="34" t="n">
        <v>269000</v>
      </c>
      <c r="E221" s="33" t="n">
        <v>13</v>
      </c>
      <c r="F221" s="34" t="n">
        <f aca="false">D221*E221</f>
        <v>3497000</v>
      </c>
      <c r="G221" s="33" t="s">
        <v>50</v>
      </c>
      <c r="H221" s="33" t="str">
        <f aca="false">INDEX(Products!$C$2:$C$51,MATCH(C221,Products!$B$2:$B$51,0))</f>
        <v>Cafe Racer</v>
      </c>
    </row>
    <row r="222" customFormat="false" ht="15" hidden="false" customHeight="false" outlineLevel="0" collapsed="false">
      <c r="A222" s="32" t="n">
        <v>45827</v>
      </c>
      <c r="B222" s="33" t="s">
        <v>49</v>
      </c>
      <c r="C222" s="33" t="s">
        <v>122</v>
      </c>
      <c r="D222" s="34" t="n">
        <v>80900</v>
      </c>
      <c r="E222" s="33" t="n">
        <v>1</v>
      </c>
      <c r="F222" s="34" t="n">
        <f aca="false">D222*E222</f>
        <v>80900</v>
      </c>
      <c r="G222" s="33" t="s">
        <v>57</v>
      </c>
      <c r="H222" s="33" t="str">
        <f aca="false">INDEX(Products!$C$2:$C$51,MATCH(C222,Products!$B$2:$B$51,0))</f>
        <v>Scooter</v>
      </c>
    </row>
    <row r="223" customFormat="false" ht="15" hidden="false" customHeight="false" outlineLevel="0" collapsed="false">
      <c r="A223" s="32" t="n">
        <v>45827</v>
      </c>
      <c r="B223" s="33" t="s">
        <v>49</v>
      </c>
      <c r="C223" s="33" t="s">
        <v>106</v>
      </c>
      <c r="D223" s="34" t="n">
        <v>284900</v>
      </c>
      <c r="E223" s="33" t="n">
        <v>13</v>
      </c>
      <c r="F223" s="34" t="n">
        <f aca="false">D223*E223</f>
        <v>3703700</v>
      </c>
      <c r="G223" s="33" t="s">
        <v>54</v>
      </c>
      <c r="H223" s="33" t="str">
        <f aca="false">INDEX(Products!$C$2:$C$51,MATCH(C223,Products!$B$2:$B$51,0))</f>
        <v>Dual-Sport</v>
      </c>
    </row>
    <row r="224" customFormat="false" ht="15" hidden="false" customHeight="false" outlineLevel="0" collapsed="false">
      <c r="A224" s="32" t="n">
        <v>45827</v>
      </c>
      <c r="B224" s="33" t="s">
        <v>53</v>
      </c>
      <c r="C224" s="33" t="s">
        <v>120</v>
      </c>
      <c r="D224" s="34" t="n">
        <v>124000</v>
      </c>
      <c r="E224" s="33" t="n">
        <v>11</v>
      </c>
      <c r="F224" s="34" t="n">
        <f aca="false">D224*E224</f>
        <v>1364000</v>
      </c>
      <c r="G224" s="33" t="s">
        <v>50</v>
      </c>
      <c r="H224" s="33" t="str">
        <f aca="false">INDEX(Products!$C$2:$C$51,MATCH(C224,Products!$B$2:$B$51,0))</f>
        <v>Scooter</v>
      </c>
    </row>
    <row r="225" customFormat="false" ht="15" hidden="false" customHeight="false" outlineLevel="0" collapsed="false">
      <c r="A225" s="32" t="n">
        <v>45827</v>
      </c>
      <c r="B225" s="33" t="s">
        <v>53</v>
      </c>
      <c r="C225" s="33" t="s">
        <v>100</v>
      </c>
      <c r="D225" s="34" t="n">
        <v>78900</v>
      </c>
      <c r="E225" s="33" t="n">
        <v>2</v>
      </c>
      <c r="F225" s="34" t="n">
        <f aca="false">D225*E225</f>
        <v>157800</v>
      </c>
      <c r="G225" s="33" t="s">
        <v>50</v>
      </c>
      <c r="H225" s="33" t="str">
        <f aca="false">INDEX(Products!$C$2:$C$51,MATCH(C225,Products!$B$2:$B$51,0))</f>
        <v>Adventure</v>
      </c>
    </row>
    <row r="226" customFormat="false" ht="15" hidden="false" customHeight="false" outlineLevel="0" collapsed="false">
      <c r="A226" s="32" t="n">
        <v>45827</v>
      </c>
      <c r="B226" s="33" t="s">
        <v>49</v>
      </c>
      <c r="C226" s="33" t="s">
        <v>67</v>
      </c>
      <c r="D226" s="34" t="n">
        <v>250000</v>
      </c>
      <c r="E226" s="33" t="n">
        <v>38</v>
      </c>
      <c r="F226" s="34" t="n">
        <f aca="false">D226*E226</f>
        <v>9500000</v>
      </c>
      <c r="G226" s="33" t="s">
        <v>50</v>
      </c>
      <c r="H226" s="33" t="str">
        <f aca="false">INDEX(Products!$C$2:$C$51,MATCH(C226,Products!$B$2:$B$51,0))</f>
        <v>Classic</v>
      </c>
    </row>
    <row r="227" customFormat="false" ht="15" hidden="false" customHeight="false" outlineLevel="0" collapsed="false">
      <c r="A227" s="32" t="n">
        <v>45827</v>
      </c>
      <c r="B227" s="33" t="s">
        <v>53</v>
      </c>
      <c r="C227" s="33" t="s">
        <v>112</v>
      </c>
      <c r="D227" s="34" t="n">
        <v>125000</v>
      </c>
      <c r="E227" s="33" t="n">
        <v>3</v>
      </c>
      <c r="F227" s="34" t="n">
        <f aca="false">D227*E227</f>
        <v>375000</v>
      </c>
      <c r="G227" s="33" t="s">
        <v>54</v>
      </c>
      <c r="H227" s="33" t="str">
        <f aca="false">INDEX(Products!$C$2:$C$51,MATCH(C227,Products!$B$2:$B$51,0))</f>
        <v>Naked Bike</v>
      </c>
    </row>
    <row r="228" customFormat="false" ht="15" hidden="false" customHeight="false" outlineLevel="0" collapsed="false">
      <c r="A228" s="32" t="n">
        <v>45827</v>
      </c>
      <c r="B228" s="33" t="s">
        <v>53</v>
      </c>
      <c r="C228" s="33" t="s">
        <v>114</v>
      </c>
      <c r="D228" s="34" t="n">
        <v>319000</v>
      </c>
      <c r="E228" s="33" t="n">
        <v>10</v>
      </c>
      <c r="F228" s="34" t="n">
        <f aca="false">D228*E228</f>
        <v>3190000</v>
      </c>
      <c r="G228" s="33" t="s">
        <v>57</v>
      </c>
      <c r="H228" s="33" t="str">
        <f aca="false">INDEX(Products!$C$2:$C$51,MATCH(C228,Products!$B$2:$B$51,0))</f>
        <v>Scooter</v>
      </c>
    </row>
    <row r="229" customFormat="false" ht="15" hidden="false" customHeight="false" outlineLevel="0" collapsed="false">
      <c r="A229" s="32" t="n">
        <v>45828</v>
      </c>
      <c r="B229" s="33" t="s">
        <v>49</v>
      </c>
      <c r="C229" s="33" t="s">
        <v>126</v>
      </c>
      <c r="D229" s="34" t="n">
        <v>198000</v>
      </c>
      <c r="E229" s="33" t="n">
        <v>11</v>
      </c>
      <c r="F229" s="34" t="n">
        <f aca="false">D229*E229</f>
        <v>2178000</v>
      </c>
      <c r="G229" s="33" t="s">
        <v>57</v>
      </c>
      <c r="H229" s="33" t="str">
        <f aca="false">INDEX(Products!$C$2:$C$51,MATCH(C229,Products!$B$2:$B$51,0))</f>
        <v>Sport</v>
      </c>
    </row>
    <row r="230" customFormat="false" ht="15" hidden="false" customHeight="false" outlineLevel="0" collapsed="false">
      <c r="A230" s="32" t="n">
        <v>45828</v>
      </c>
      <c r="B230" s="33" t="s">
        <v>53</v>
      </c>
      <c r="C230" s="33" t="s">
        <v>67</v>
      </c>
      <c r="D230" s="34" t="n">
        <v>250000</v>
      </c>
      <c r="E230" s="33" t="n">
        <v>7</v>
      </c>
      <c r="F230" s="34" t="n">
        <f aca="false">D230*E230</f>
        <v>1750000</v>
      </c>
      <c r="G230" s="33" t="s">
        <v>54</v>
      </c>
      <c r="H230" s="33" t="str">
        <f aca="false">INDEX(Products!$C$2:$C$51,MATCH(C230,Products!$B$2:$B$51,0))</f>
        <v>Classic</v>
      </c>
    </row>
    <row r="231" customFormat="false" ht="15" hidden="false" customHeight="false" outlineLevel="0" collapsed="false">
      <c r="A231" s="32" t="n">
        <v>45828</v>
      </c>
      <c r="B231" s="33" t="s">
        <v>49</v>
      </c>
      <c r="C231" s="33" t="s">
        <v>62</v>
      </c>
      <c r="D231" s="34" t="n">
        <v>650000</v>
      </c>
      <c r="E231" s="33" t="n">
        <v>1</v>
      </c>
      <c r="F231" s="34" t="n">
        <f aca="false">D231*E231</f>
        <v>650000</v>
      </c>
      <c r="G231" s="33" t="s">
        <v>50</v>
      </c>
      <c r="H231" s="33" t="str">
        <f aca="false">INDEX(Products!$C$2:$C$51,MATCH(C231,Products!$B$2:$B$51,0))</f>
        <v>Cruiser</v>
      </c>
    </row>
    <row r="232" customFormat="false" ht="15" hidden="false" customHeight="false" outlineLevel="0" collapsed="false">
      <c r="A232" s="32" t="n">
        <v>45828</v>
      </c>
      <c r="B232" s="33" t="s">
        <v>49</v>
      </c>
      <c r="C232" s="33" t="s">
        <v>100</v>
      </c>
      <c r="D232" s="34" t="n">
        <v>78900</v>
      </c>
      <c r="E232" s="33" t="n">
        <v>43</v>
      </c>
      <c r="F232" s="34" t="n">
        <f aca="false">D232*E232</f>
        <v>3392700</v>
      </c>
      <c r="G232" s="33" t="s">
        <v>54</v>
      </c>
      <c r="H232" s="33" t="str">
        <f aca="false">INDEX(Products!$C$2:$C$51,MATCH(C232,Products!$B$2:$B$51,0))</f>
        <v>Adventure</v>
      </c>
    </row>
    <row r="233" customFormat="false" ht="15" hidden="false" customHeight="false" outlineLevel="0" collapsed="false">
      <c r="A233" s="32" t="n">
        <v>45828</v>
      </c>
      <c r="B233" s="33" t="s">
        <v>49</v>
      </c>
      <c r="C233" s="33" t="s">
        <v>63</v>
      </c>
      <c r="D233" s="34" t="n">
        <v>99900</v>
      </c>
      <c r="E233" s="33" t="n">
        <v>35</v>
      </c>
      <c r="F233" s="34" t="n">
        <f aca="false">D233*E233</f>
        <v>3496500</v>
      </c>
      <c r="G233" s="33" t="s">
        <v>57</v>
      </c>
      <c r="H233" s="33" t="str">
        <f aca="false">INDEX(Products!$C$2:$C$51,MATCH(C233,Products!$B$2:$B$51,0))</f>
        <v>Street</v>
      </c>
    </row>
    <row r="234" customFormat="false" ht="15" hidden="false" customHeight="false" outlineLevel="0" collapsed="false">
      <c r="A234" s="32" t="n">
        <v>45828</v>
      </c>
      <c r="B234" s="33" t="s">
        <v>53</v>
      </c>
      <c r="C234" s="33" t="s">
        <v>104</v>
      </c>
      <c r="D234" s="34" t="n">
        <v>499000</v>
      </c>
      <c r="E234" s="33" t="n">
        <v>6</v>
      </c>
      <c r="F234" s="34" t="n">
        <f aca="false">D234*E234</f>
        <v>2994000</v>
      </c>
      <c r="G234" s="33" t="s">
        <v>50</v>
      </c>
      <c r="H234" s="33" t="str">
        <f aca="false">INDEX(Products!$C$2:$C$51,MATCH(C234,Products!$B$2:$B$51,0))</f>
        <v>Cruiser</v>
      </c>
    </row>
    <row r="235" customFormat="false" ht="15" hidden="false" customHeight="false" outlineLevel="0" collapsed="false">
      <c r="A235" s="32" t="n">
        <v>45828</v>
      </c>
      <c r="B235" s="33" t="s">
        <v>49</v>
      </c>
      <c r="C235" s="33" t="s">
        <v>52</v>
      </c>
      <c r="D235" s="34" t="n">
        <v>398000</v>
      </c>
      <c r="E235" s="33" t="n">
        <v>1</v>
      </c>
      <c r="F235" s="34" t="n">
        <f aca="false">D235*E235</f>
        <v>398000</v>
      </c>
      <c r="G235" s="33" t="s">
        <v>54</v>
      </c>
      <c r="H235" s="33" t="str">
        <f aca="false">INDEX(Products!$C$2:$C$51,MATCH(C235,Products!$B$2:$B$51,0))</f>
        <v>Cruiser</v>
      </c>
    </row>
    <row r="236" customFormat="false" ht="15" hidden="false" customHeight="false" outlineLevel="0" collapsed="false">
      <c r="A236" s="32" t="n">
        <v>45829</v>
      </c>
      <c r="B236" s="33" t="s">
        <v>49</v>
      </c>
      <c r="C236" s="33" t="s">
        <v>61</v>
      </c>
      <c r="D236" s="34" t="n">
        <v>299000</v>
      </c>
      <c r="E236" s="33" t="n">
        <v>19</v>
      </c>
      <c r="F236" s="34" t="n">
        <f aca="false">D236*E236</f>
        <v>5681000</v>
      </c>
      <c r="G236" s="33" t="s">
        <v>57</v>
      </c>
      <c r="H236" s="33" t="str">
        <f aca="false">INDEX(Products!$C$2:$C$51,MATCH(C236,Products!$B$2:$B$51,0))</f>
        <v>Dual-Sport</v>
      </c>
    </row>
    <row r="237" customFormat="false" ht="15" hidden="false" customHeight="false" outlineLevel="0" collapsed="false">
      <c r="A237" s="32" t="n">
        <v>45829</v>
      </c>
      <c r="B237" s="33" t="s">
        <v>53</v>
      </c>
      <c r="C237" s="33" t="s">
        <v>69</v>
      </c>
      <c r="D237" s="34" t="n">
        <v>164900</v>
      </c>
      <c r="E237" s="33" t="n">
        <v>12</v>
      </c>
      <c r="F237" s="34" t="n">
        <f aca="false">D237*E237</f>
        <v>1978800</v>
      </c>
      <c r="G237" s="33" t="s">
        <v>54</v>
      </c>
      <c r="H237" s="33" t="str">
        <f aca="false">INDEX(Products!$C$2:$C$51,MATCH(C237,Products!$B$2:$B$51,0))</f>
        <v>Scooter</v>
      </c>
    </row>
    <row r="238" customFormat="false" ht="15" hidden="false" customHeight="false" outlineLevel="0" collapsed="false">
      <c r="A238" s="32" t="n">
        <v>45829</v>
      </c>
      <c r="B238" s="33" t="s">
        <v>49</v>
      </c>
      <c r="C238" s="33" t="s">
        <v>129</v>
      </c>
      <c r="D238" s="34" t="n">
        <v>125900</v>
      </c>
      <c r="E238" s="33" t="n">
        <v>24</v>
      </c>
      <c r="F238" s="34" t="n">
        <f aca="false">D238*E238</f>
        <v>3021600</v>
      </c>
      <c r="G238" s="33" t="s">
        <v>50</v>
      </c>
      <c r="H238" s="33" t="str">
        <f aca="false">INDEX(Products!$C$2:$C$51,MATCH(C238,Products!$B$2:$B$51,0))</f>
        <v>Underbone</v>
      </c>
    </row>
    <row r="239" customFormat="false" ht="15" hidden="false" customHeight="false" outlineLevel="0" collapsed="false">
      <c r="A239" s="32" t="n">
        <v>45829</v>
      </c>
      <c r="B239" s="33" t="s">
        <v>53</v>
      </c>
      <c r="C239" s="33" t="s">
        <v>115</v>
      </c>
      <c r="D239" s="34" t="n">
        <v>289000</v>
      </c>
      <c r="E239" s="33" t="n">
        <v>10</v>
      </c>
      <c r="F239" s="34" t="n">
        <f aca="false">D239*E239</f>
        <v>2890000</v>
      </c>
      <c r="G239" s="33" t="s">
        <v>50</v>
      </c>
      <c r="H239" s="33" t="str">
        <f aca="false">INDEX(Products!$C$2:$C$51,MATCH(C239,Products!$B$2:$B$51,0))</f>
        <v>Scooter</v>
      </c>
    </row>
    <row r="240" customFormat="false" ht="15" hidden="false" customHeight="false" outlineLevel="0" collapsed="false">
      <c r="A240" s="32" t="n">
        <v>45829</v>
      </c>
      <c r="B240" s="33" t="s">
        <v>49</v>
      </c>
      <c r="C240" s="33" t="s">
        <v>55</v>
      </c>
      <c r="D240" s="34" t="n">
        <v>67900</v>
      </c>
      <c r="E240" s="33" t="n">
        <v>20</v>
      </c>
      <c r="F240" s="34" t="n">
        <f aca="false">D240*E240</f>
        <v>1358000</v>
      </c>
      <c r="G240" s="33" t="s">
        <v>50</v>
      </c>
      <c r="H240" s="33" t="str">
        <f aca="false">INDEX(Products!$C$2:$C$51,MATCH(C240,Products!$B$2:$B$51,0))</f>
        <v>Commuter</v>
      </c>
    </row>
    <row r="241" customFormat="false" ht="15" hidden="false" customHeight="false" outlineLevel="0" collapsed="false">
      <c r="A241" s="32" t="n">
        <v>45829</v>
      </c>
      <c r="B241" s="33" t="s">
        <v>49</v>
      </c>
      <c r="C241" s="33" t="s">
        <v>119</v>
      </c>
      <c r="D241" s="34" t="n">
        <v>128000</v>
      </c>
      <c r="E241" s="33" t="n">
        <v>20</v>
      </c>
      <c r="F241" s="34" t="n">
        <f aca="false">D241*E241</f>
        <v>2560000</v>
      </c>
      <c r="G241" s="33" t="s">
        <v>54</v>
      </c>
      <c r="H241" s="33" t="str">
        <f aca="false">INDEX(Products!$C$2:$C$51,MATCH(C241,Products!$B$2:$B$51,0))</f>
        <v>Scooter</v>
      </c>
    </row>
    <row r="242" customFormat="false" ht="15" hidden="false" customHeight="false" outlineLevel="0" collapsed="false">
      <c r="A242" s="32" t="n">
        <v>45829</v>
      </c>
      <c r="B242" s="33" t="s">
        <v>53</v>
      </c>
      <c r="C242" s="33" t="s">
        <v>68</v>
      </c>
      <c r="D242" s="34" t="n">
        <v>389000</v>
      </c>
      <c r="E242" s="33" t="n">
        <v>13</v>
      </c>
      <c r="F242" s="34" t="n">
        <f aca="false">D242*E242</f>
        <v>5057000</v>
      </c>
      <c r="G242" s="33" t="s">
        <v>54</v>
      </c>
      <c r="H242" s="33" t="str">
        <f aca="false">INDEX(Products!$C$2:$C$51,MATCH(C242,Products!$B$2:$B$51,0))</f>
        <v>Sport</v>
      </c>
    </row>
    <row r="243" customFormat="false" ht="15" hidden="false" customHeight="false" outlineLevel="0" collapsed="false">
      <c r="A243" s="32" t="n">
        <v>45829</v>
      </c>
      <c r="B243" s="33" t="s">
        <v>49</v>
      </c>
      <c r="C243" s="33" t="s">
        <v>55</v>
      </c>
      <c r="D243" s="34" t="n">
        <v>67900</v>
      </c>
      <c r="E243" s="33" t="n">
        <v>31</v>
      </c>
      <c r="F243" s="34" t="n">
        <f aca="false">D243*E243</f>
        <v>2104900</v>
      </c>
      <c r="G243" s="33" t="s">
        <v>50</v>
      </c>
      <c r="H243" s="33" t="str">
        <f aca="false">INDEX(Products!$C$2:$C$51,MATCH(C243,Products!$B$2:$B$51,0))</f>
        <v>Commuter</v>
      </c>
    </row>
    <row r="244" customFormat="false" ht="15" hidden="false" customHeight="false" outlineLevel="0" collapsed="false">
      <c r="A244" s="32" t="n">
        <v>45829</v>
      </c>
      <c r="B244" s="33" t="s">
        <v>49</v>
      </c>
      <c r="C244" s="33" t="s">
        <v>105</v>
      </c>
      <c r="D244" s="34" t="n">
        <v>349000</v>
      </c>
      <c r="E244" s="33" t="n">
        <v>19</v>
      </c>
      <c r="F244" s="34" t="n">
        <f aca="false">D244*E244</f>
        <v>6631000</v>
      </c>
      <c r="G244" s="33" t="s">
        <v>54</v>
      </c>
      <c r="H244" s="33" t="str">
        <f aca="false">INDEX(Products!$C$2:$C$51,MATCH(C244,Products!$B$2:$B$51,0))</f>
        <v>Cruiser</v>
      </c>
    </row>
    <row r="245" customFormat="false" ht="15" hidden="false" customHeight="false" outlineLevel="0" collapsed="false">
      <c r="A245" s="32" t="n">
        <v>45829</v>
      </c>
      <c r="B245" s="33" t="s">
        <v>53</v>
      </c>
      <c r="C245" s="33" t="s">
        <v>64</v>
      </c>
      <c r="D245" s="34" t="n">
        <v>248000</v>
      </c>
      <c r="E245" s="33" t="n">
        <v>7</v>
      </c>
      <c r="F245" s="34" t="n">
        <f aca="false">D245*E245</f>
        <v>1736000</v>
      </c>
      <c r="G245" s="33" t="s">
        <v>57</v>
      </c>
      <c r="H245" s="33" t="str">
        <f aca="false">INDEX(Products!$C$2:$C$51,MATCH(C245,Products!$B$2:$B$51,0))</f>
        <v>Adventure</v>
      </c>
    </row>
    <row r="246" customFormat="false" ht="15" hidden="false" customHeight="false" outlineLevel="0" collapsed="false">
      <c r="A246" s="32" t="n">
        <v>45829</v>
      </c>
      <c r="B246" s="33" t="s">
        <v>49</v>
      </c>
      <c r="C246" s="33" t="s">
        <v>105</v>
      </c>
      <c r="D246" s="34" t="n">
        <v>349000</v>
      </c>
      <c r="E246" s="33" t="n">
        <v>21</v>
      </c>
      <c r="F246" s="34" t="n">
        <f aca="false">D246*E246</f>
        <v>7329000</v>
      </c>
      <c r="G246" s="33" t="s">
        <v>54</v>
      </c>
      <c r="H246" s="33" t="str">
        <f aca="false">INDEX(Products!$C$2:$C$51,MATCH(C246,Products!$B$2:$B$51,0))</f>
        <v>Cruiser</v>
      </c>
    </row>
    <row r="247" customFormat="false" ht="15" hidden="false" customHeight="false" outlineLevel="0" collapsed="false">
      <c r="A247" s="32" t="n">
        <v>45830</v>
      </c>
      <c r="B247" s="33" t="s">
        <v>49</v>
      </c>
      <c r="C247" s="33" t="s">
        <v>109</v>
      </c>
      <c r="D247" s="34" t="n">
        <v>178000</v>
      </c>
      <c r="E247" s="33" t="n">
        <v>41</v>
      </c>
      <c r="F247" s="34" t="n">
        <f aca="false">D247*E247</f>
        <v>7298000</v>
      </c>
      <c r="G247" s="33" t="s">
        <v>57</v>
      </c>
      <c r="H247" s="33" t="str">
        <f aca="false">INDEX(Products!$C$2:$C$51,MATCH(C247,Products!$B$2:$B$51,0))</f>
        <v>Naked Bike</v>
      </c>
    </row>
    <row r="248" customFormat="false" ht="15" hidden="false" customHeight="false" outlineLevel="0" collapsed="false">
      <c r="A248" s="32" t="n">
        <v>45830</v>
      </c>
      <c r="B248" s="33" t="s">
        <v>49</v>
      </c>
      <c r="C248" s="33" t="s">
        <v>101</v>
      </c>
      <c r="D248" s="34" t="n">
        <v>328000</v>
      </c>
      <c r="E248" s="33" t="n">
        <v>4</v>
      </c>
      <c r="F248" s="34" t="n">
        <f aca="false">D248*E248</f>
        <v>1312000</v>
      </c>
      <c r="G248" s="33" t="s">
        <v>50</v>
      </c>
      <c r="H248" s="33" t="str">
        <f aca="false">INDEX(Products!$C$2:$C$51,MATCH(C248,Products!$B$2:$B$51,0))</f>
        <v>Cafe Racer</v>
      </c>
    </row>
    <row r="249" customFormat="false" ht="15" hidden="false" customHeight="false" outlineLevel="0" collapsed="false">
      <c r="A249" s="32" t="n">
        <v>45830</v>
      </c>
      <c r="B249" s="33" t="s">
        <v>49</v>
      </c>
      <c r="C249" s="33" t="s">
        <v>128</v>
      </c>
      <c r="D249" s="34" t="n">
        <v>68900</v>
      </c>
      <c r="E249" s="33" t="n">
        <v>3</v>
      </c>
      <c r="F249" s="34" t="n">
        <f aca="false">D249*E249</f>
        <v>206700</v>
      </c>
      <c r="G249" s="33" t="s">
        <v>57</v>
      </c>
      <c r="H249" s="33" t="str">
        <f aca="false">INDEX(Products!$C$2:$C$51,MATCH(C249,Products!$B$2:$B$51,0))</f>
        <v>Standard</v>
      </c>
    </row>
    <row r="250" customFormat="false" ht="15" hidden="false" customHeight="false" outlineLevel="0" collapsed="false">
      <c r="A250" s="32" t="n">
        <v>45830</v>
      </c>
      <c r="B250" s="33" t="s">
        <v>49</v>
      </c>
      <c r="C250" s="33" t="s">
        <v>63</v>
      </c>
      <c r="D250" s="34" t="n">
        <v>99900</v>
      </c>
      <c r="E250" s="33" t="n">
        <v>2</v>
      </c>
      <c r="F250" s="34" t="n">
        <f aca="false">D250*E250</f>
        <v>199800</v>
      </c>
      <c r="G250" s="33" t="s">
        <v>57</v>
      </c>
      <c r="H250" s="33" t="str">
        <f aca="false">INDEX(Products!$C$2:$C$51,MATCH(C250,Products!$B$2:$B$51,0))</f>
        <v>Street</v>
      </c>
    </row>
    <row r="251" customFormat="false" ht="15" hidden="false" customHeight="false" outlineLevel="0" collapsed="false">
      <c r="A251" s="32" t="n">
        <v>45830</v>
      </c>
      <c r="B251" s="33" t="s">
        <v>49</v>
      </c>
      <c r="C251" s="33" t="s">
        <v>65</v>
      </c>
      <c r="D251" s="34" t="n">
        <v>345000</v>
      </c>
      <c r="E251" s="33" t="n">
        <v>49</v>
      </c>
      <c r="F251" s="34" t="n">
        <f aca="false">D251*E251</f>
        <v>16905000</v>
      </c>
      <c r="G251" s="33" t="s">
        <v>57</v>
      </c>
      <c r="H251" s="33" t="str">
        <f aca="false">INDEX(Products!$C$2:$C$51,MATCH(C251,Products!$B$2:$B$51,0))</f>
        <v>Touring</v>
      </c>
    </row>
    <row r="252" customFormat="false" ht="15" hidden="false" customHeight="false" outlineLevel="0" collapsed="false">
      <c r="A252" s="32" t="n">
        <v>45830</v>
      </c>
      <c r="B252" s="33" t="s">
        <v>49</v>
      </c>
      <c r="C252" s="33" t="s">
        <v>103</v>
      </c>
      <c r="D252" s="34" t="n">
        <v>48000</v>
      </c>
      <c r="E252" s="33" t="n">
        <v>5</v>
      </c>
      <c r="F252" s="34" t="n">
        <f aca="false">D252*E252</f>
        <v>240000</v>
      </c>
      <c r="G252" s="33" t="s">
        <v>50</v>
      </c>
      <c r="H252" s="33" t="str">
        <f aca="false">INDEX(Products!$C$2:$C$51,MATCH(C252,Products!$B$2:$B$51,0))</f>
        <v>Commuter</v>
      </c>
    </row>
    <row r="253" customFormat="false" ht="15" hidden="false" customHeight="false" outlineLevel="0" collapsed="false">
      <c r="A253" s="32" t="n">
        <v>45830</v>
      </c>
      <c r="B253" s="33" t="s">
        <v>49</v>
      </c>
      <c r="C253" s="33" t="s">
        <v>60</v>
      </c>
      <c r="D253" s="34" t="n">
        <v>599000</v>
      </c>
      <c r="E253" s="33" t="n">
        <v>49</v>
      </c>
      <c r="F253" s="34" t="n">
        <f aca="false">D253*E253</f>
        <v>29351000</v>
      </c>
      <c r="G253" s="33" t="s">
        <v>50</v>
      </c>
      <c r="H253" s="33" t="str">
        <f aca="false">INDEX(Products!$C$2:$C$51,MATCH(C253,Products!$B$2:$B$51,0))</f>
        <v>Naked Bike</v>
      </c>
    </row>
    <row r="254" customFormat="false" ht="15" hidden="false" customHeight="false" outlineLevel="0" collapsed="false">
      <c r="A254" s="32" t="n">
        <v>45831</v>
      </c>
      <c r="B254" s="33" t="s">
        <v>49</v>
      </c>
      <c r="C254" s="33" t="s">
        <v>123</v>
      </c>
      <c r="D254" s="34" t="n">
        <v>79900</v>
      </c>
      <c r="E254" s="33" t="n">
        <v>19</v>
      </c>
      <c r="F254" s="34" t="n">
        <f aca="false">D254*E254</f>
        <v>1518100</v>
      </c>
      <c r="G254" s="33" t="s">
        <v>57</v>
      </c>
      <c r="H254" s="33" t="str">
        <f aca="false">INDEX(Products!$C$2:$C$51,MATCH(C254,Products!$B$2:$B$51,0))</f>
        <v>Scooter</v>
      </c>
    </row>
    <row r="255" customFormat="false" ht="15" hidden="false" customHeight="false" outlineLevel="0" collapsed="false">
      <c r="A255" s="32" t="n">
        <v>45831</v>
      </c>
      <c r="B255" s="33" t="s">
        <v>49</v>
      </c>
      <c r="C255" s="33" t="s">
        <v>109</v>
      </c>
      <c r="D255" s="34" t="n">
        <v>178000</v>
      </c>
      <c r="E255" s="33" t="n">
        <v>16</v>
      </c>
      <c r="F255" s="34" t="n">
        <f aca="false">D255*E255</f>
        <v>2848000</v>
      </c>
      <c r="G255" s="33" t="s">
        <v>54</v>
      </c>
      <c r="H255" s="33" t="str">
        <f aca="false">INDEX(Products!$C$2:$C$51,MATCH(C255,Products!$B$2:$B$51,0))</f>
        <v>Naked Bike</v>
      </c>
    </row>
    <row r="256" customFormat="false" ht="15" hidden="false" customHeight="false" outlineLevel="0" collapsed="false">
      <c r="A256" s="32" t="n">
        <v>45831</v>
      </c>
      <c r="B256" s="33" t="s">
        <v>49</v>
      </c>
      <c r="C256" s="33" t="s">
        <v>112</v>
      </c>
      <c r="D256" s="34" t="n">
        <v>125000</v>
      </c>
      <c r="E256" s="33" t="n">
        <v>15</v>
      </c>
      <c r="F256" s="34" t="n">
        <f aca="false">D256*E256</f>
        <v>1875000</v>
      </c>
      <c r="G256" s="33" t="s">
        <v>54</v>
      </c>
      <c r="H256" s="33" t="str">
        <f aca="false">INDEX(Products!$C$2:$C$51,MATCH(C256,Products!$B$2:$B$51,0))</f>
        <v>Naked Bike</v>
      </c>
    </row>
    <row r="257" customFormat="false" ht="15" hidden="false" customHeight="false" outlineLevel="0" collapsed="false">
      <c r="A257" s="32" t="n">
        <v>45831</v>
      </c>
      <c r="B257" s="33" t="s">
        <v>49</v>
      </c>
      <c r="C257" s="33" t="s">
        <v>64</v>
      </c>
      <c r="D257" s="34" t="n">
        <v>248000</v>
      </c>
      <c r="E257" s="33" t="n">
        <v>15</v>
      </c>
      <c r="F257" s="34" t="n">
        <f aca="false">D257*E257</f>
        <v>3720000</v>
      </c>
      <c r="G257" s="33" t="s">
        <v>54</v>
      </c>
      <c r="H257" s="33" t="str">
        <f aca="false">INDEX(Products!$C$2:$C$51,MATCH(C257,Products!$B$2:$B$51,0))</f>
        <v>Adventure</v>
      </c>
    </row>
    <row r="258" customFormat="false" ht="15" hidden="false" customHeight="false" outlineLevel="0" collapsed="false">
      <c r="A258" s="32" t="n">
        <v>45831</v>
      </c>
      <c r="B258" s="33" t="s">
        <v>53</v>
      </c>
      <c r="C258" s="33" t="s">
        <v>107</v>
      </c>
      <c r="D258" s="34" t="n">
        <v>199000</v>
      </c>
      <c r="E258" s="33" t="n">
        <v>8</v>
      </c>
      <c r="F258" s="34" t="n">
        <f aca="false">D258*E258</f>
        <v>1592000</v>
      </c>
      <c r="G258" s="33" t="s">
        <v>54</v>
      </c>
      <c r="H258" s="33" t="str">
        <f aca="false">INDEX(Products!$C$2:$C$51,MATCH(C258,Products!$B$2:$B$51,0))</f>
        <v>Dual-Sport</v>
      </c>
    </row>
    <row r="259" customFormat="false" ht="15" hidden="false" customHeight="false" outlineLevel="0" collapsed="false">
      <c r="A259" s="32" t="n">
        <v>45831</v>
      </c>
      <c r="B259" s="33" t="s">
        <v>49</v>
      </c>
      <c r="C259" s="33" t="s">
        <v>105</v>
      </c>
      <c r="D259" s="34" t="n">
        <v>349000</v>
      </c>
      <c r="E259" s="33" t="n">
        <v>11</v>
      </c>
      <c r="F259" s="34" t="n">
        <f aca="false">D259*E259</f>
        <v>3839000</v>
      </c>
      <c r="G259" s="33" t="s">
        <v>50</v>
      </c>
      <c r="H259" s="33" t="str">
        <f aca="false">INDEX(Products!$C$2:$C$51,MATCH(C259,Products!$B$2:$B$51,0))</f>
        <v>Cruiser</v>
      </c>
    </row>
    <row r="260" customFormat="false" ht="15" hidden="false" customHeight="false" outlineLevel="0" collapsed="false">
      <c r="A260" s="32" t="n">
        <v>45831</v>
      </c>
      <c r="B260" s="33" t="s">
        <v>53</v>
      </c>
      <c r="C260" s="33" t="s">
        <v>129</v>
      </c>
      <c r="D260" s="34" t="n">
        <v>125900</v>
      </c>
      <c r="E260" s="33" t="n">
        <v>6</v>
      </c>
      <c r="F260" s="34" t="n">
        <f aca="false">D260*E260</f>
        <v>755400</v>
      </c>
      <c r="G260" s="33" t="s">
        <v>54</v>
      </c>
      <c r="H260" s="33" t="str">
        <f aca="false">INDEX(Products!$C$2:$C$51,MATCH(C260,Products!$B$2:$B$51,0))</f>
        <v>Underbone</v>
      </c>
    </row>
    <row r="261" customFormat="false" ht="15" hidden="false" customHeight="false" outlineLevel="0" collapsed="false">
      <c r="A261" s="32" t="n">
        <v>45831</v>
      </c>
      <c r="B261" s="33" t="s">
        <v>53</v>
      </c>
      <c r="C261" s="33" t="s">
        <v>61</v>
      </c>
      <c r="D261" s="34" t="n">
        <v>299000</v>
      </c>
      <c r="E261" s="33" t="n">
        <v>11</v>
      </c>
      <c r="F261" s="34" t="n">
        <f aca="false">D261*E261</f>
        <v>3289000</v>
      </c>
      <c r="G261" s="33" t="s">
        <v>54</v>
      </c>
      <c r="H261" s="33" t="str">
        <f aca="false">INDEX(Products!$C$2:$C$51,MATCH(C261,Products!$B$2:$B$51,0))</f>
        <v>Dual-Sport</v>
      </c>
    </row>
    <row r="262" customFormat="false" ht="15" hidden="false" customHeight="false" outlineLevel="0" collapsed="false">
      <c r="A262" s="32" t="n">
        <v>45831</v>
      </c>
      <c r="B262" s="33" t="s">
        <v>53</v>
      </c>
      <c r="C262" s="33" t="s">
        <v>130</v>
      </c>
      <c r="D262" s="34" t="n">
        <v>119900</v>
      </c>
      <c r="E262" s="33" t="n">
        <v>2</v>
      </c>
      <c r="F262" s="34" t="n">
        <f aca="false">D262*E262</f>
        <v>239800</v>
      </c>
      <c r="G262" s="33" t="s">
        <v>50</v>
      </c>
      <c r="H262" s="33" t="str">
        <f aca="false">INDEX(Products!$C$2:$C$51,MATCH(C262,Products!$B$2:$B$51,0))</f>
        <v>Underbone</v>
      </c>
    </row>
    <row r="263" customFormat="false" ht="15" hidden="false" customHeight="false" outlineLevel="0" collapsed="false">
      <c r="A263" s="32" t="n">
        <v>45831</v>
      </c>
      <c r="B263" s="33" t="s">
        <v>53</v>
      </c>
      <c r="C263" s="33" t="s">
        <v>117</v>
      </c>
      <c r="D263" s="34" t="n">
        <v>210000</v>
      </c>
      <c r="E263" s="33" t="n">
        <v>26</v>
      </c>
      <c r="F263" s="34" t="n">
        <f aca="false">D263*E263</f>
        <v>5460000</v>
      </c>
      <c r="G263" s="33" t="s">
        <v>57</v>
      </c>
      <c r="H263" s="33" t="str">
        <f aca="false">INDEX(Products!$C$2:$C$51,MATCH(C263,Products!$B$2:$B$51,0))</f>
        <v>Scooter</v>
      </c>
    </row>
    <row r="264" customFormat="false" ht="15" hidden="false" customHeight="false" outlineLevel="0" collapsed="false">
      <c r="A264" s="32" t="n">
        <v>45831</v>
      </c>
      <c r="B264" s="33" t="s">
        <v>49</v>
      </c>
      <c r="C264" s="33" t="s">
        <v>102</v>
      </c>
      <c r="D264" s="34" t="n">
        <v>269000</v>
      </c>
      <c r="E264" s="33" t="n">
        <v>50</v>
      </c>
      <c r="F264" s="34" t="n">
        <f aca="false">D264*E264</f>
        <v>13450000</v>
      </c>
      <c r="G264" s="33" t="s">
        <v>50</v>
      </c>
      <c r="H264" s="33" t="str">
        <f aca="false">INDEX(Products!$C$2:$C$51,MATCH(C264,Products!$B$2:$B$51,0))</f>
        <v>Cafe Racer</v>
      </c>
    </row>
    <row r="265" customFormat="false" ht="15" hidden="false" customHeight="false" outlineLevel="0" collapsed="false">
      <c r="A265" s="32" t="n">
        <v>45831</v>
      </c>
      <c r="B265" s="33" t="s">
        <v>53</v>
      </c>
      <c r="C265" s="33" t="s">
        <v>122</v>
      </c>
      <c r="D265" s="34" t="n">
        <v>80900</v>
      </c>
      <c r="E265" s="33" t="n">
        <v>7</v>
      </c>
      <c r="F265" s="34" t="n">
        <f aca="false">D265*E265</f>
        <v>566300</v>
      </c>
      <c r="G265" s="33" t="s">
        <v>50</v>
      </c>
      <c r="H265" s="33" t="str">
        <f aca="false">INDEX(Products!$C$2:$C$51,MATCH(C265,Products!$B$2:$B$51,0))</f>
        <v>Scooter</v>
      </c>
    </row>
    <row r="266" customFormat="false" ht="15" hidden="false" customHeight="false" outlineLevel="0" collapsed="false">
      <c r="A266" s="32" t="n">
        <v>45831</v>
      </c>
      <c r="B266" s="33" t="s">
        <v>49</v>
      </c>
      <c r="C266" s="33" t="s">
        <v>60</v>
      </c>
      <c r="D266" s="34" t="n">
        <v>599000</v>
      </c>
      <c r="E266" s="33" t="n">
        <v>3</v>
      </c>
      <c r="F266" s="34" t="n">
        <f aca="false">D266*E266</f>
        <v>1797000</v>
      </c>
      <c r="G266" s="33" t="s">
        <v>57</v>
      </c>
      <c r="H266" s="33" t="str">
        <f aca="false">INDEX(Products!$C$2:$C$51,MATCH(C266,Products!$B$2:$B$51,0))</f>
        <v>Naked Bike</v>
      </c>
    </row>
    <row r="267" customFormat="false" ht="15" hidden="false" customHeight="false" outlineLevel="0" collapsed="false">
      <c r="A267" s="32" t="n">
        <v>45831</v>
      </c>
      <c r="B267" s="33" t="s">
        <v>53</v>
      </c>
      <c r="C267" s="33" t="s">
        <v>116</v>
      </c>
      <c r="D267" s="34" t="n">
        <v>219000</v>
      </c>
      <c r="E267" s="33" t="n">
        <v>17</v>
      </c>
      <c r="F267" s="34" t="n">
        <f aca="false">D267*E267</f>
        <v>3723000</v>
      </c>
      <c r="G267" s="33" t="s">
        <v>54</v>
      </c>
      <c r="H267" s="33" t="str">
        <f aca="false">INDEX(Products!$C$2:$C$51,MATCH(C267,Products!$B$2:$B$51,0))</f>
        <v>Scooter</v>
      </c>
    </row>
    <row r="268" customFormat="false" ht="15" hidden="false" customHeight="false" outlineLevel="0" collapsed="false">
      <c r="A268" s="32" t="n">
        <v>45832</v>
      </c>
      <c r="B268" s="33" t="s">
        <v>49</v>
      </c>
      <c r="C268" s="33" t="s">
        <v>68</v>
      </c>
      <c r="D268" s="34" t="n">
        <v>389000</v>
      </c>
      <c r="E268" s="33" t="n">
        <v>4</v>
      </c>
      <c r="F268" s="34" t="n">
        <f aca="false">D268*E268</f>
        <v>1556000</v>
      </c>
      <c r="G268" s="33" t="s">
        <v>50</v>
      </c>
      <c r="H268" s="33" t="str">
        <f aca="false">INDEX(Products!$C$2:$C$51,MATCH(C268,Products!$B$2:$B$51,0))</f>
        <v>Sport</v>
      </c>
    </row>
    <row r="269" customFormat="false" ht="15" hidden="false" customHeight="false" outlineLevel="0" collapsed="false">
      <c r="A269" s="32" t="n">
        <v>45832</v>
      </c>
      <c r="B269" s="33" t="s">
        <v>49</v>
      </c>
      <c r="C269" s="33" t="s">
        <v>100</v>
      </c>
      <c r="D269" s="34" t="n">
        <v>78900</v>
      </c>
      <c r="E269" s="33" t="n">
        <v>17</v>
      </c>
      <c r="F269" s="34" t="n">
        <f aca="false">D269*E269</f>
        <v>1341300</v>
      </c>
      <c r="G269" s="33" t="s">
        <v>50</v>
      </c>
      <c r="H269" s="33" t="str">
        <f aca="false">INDEX(Products!$C$2:$C$51,MATCH(C269,Products!$B$2:$B$51,0))</f>
        <v>Adventure</v>
      </c>
    </row>
    <row r="270" customFormat="false" ht="15" hidden="false" customHeight="false" outlineLevel="0" collapsed="false">
      <c r="A270" s="32" t="n">
        <v>45832</v>
      </c>
      <c r="B270" s="33" t="s">
        <v>53</v>
      </c>
      <c r="C270" s="33" t="s">
        <v>66</v>
      </c>
      <c r="D270" s="34" t="n">
        <v>398000</v>
      </c>
      <c r="E270" s="33" t="n">
        <v>19</v>
      </c>
      <c r="F270" s="34" t="n">
        <f aca="false">D270*E270</f>
        <v>7562000</v>
      </c>
      <c r="G270" s="33" t="s">
        <v>50</v>
      </c>
      <c r="H270" s="33" t="str">
        <f aca="false">INDEX(Products!$C$2:$C$51,MATCH(C270,Products!$B$2:$B$51,0))</f>
        <v>Scooter</v>
      </c>
    </row>
    <row r="271" customFormat="false" ht="15" hidden="false" customHeight="false" outlineLevel="0" collapsed="false">
      <c r="A271" s="32" t="n">
        <v>45832</v>
      </c>
      <c r="B271" s="33" t="s">
        <v>53</v>
      </c>
      <c r="C271" s="33" t="s">
        <v>113</v>
      </c>
      <c r="D271" s="34" t="n">
        <v>182000</v>
      </c>
      <c r="E271" s="33" t="n">
        <v>32</v>
      </c>
      <c r="F271" s="34" t="n">
        <f aca="false">D271*E271</f>
        <v>5824000</v>
      </c>
      <c r="G271" s="33" t="s">
        <v>54</v>
      </c>
      <c r="H271" s="33" t="str">
        <f aca="false">INDEX(Products!$C$2:$C$51,MATCH(C271,Products!$B$2:$B$51,0))</f>
        <v>Retro</v>
      </c>
    </row>
    <row r="272" customFormat="false" ht="15" hidden="false" customHeight="false" outlineLevel="0" collapsed="false">
      <c r="A272" s="32" t="n">
        <v>45832</v>
      </c>
      <c r="B272" s="33" t="s">
        <v>49</v>
      </c>
      <c r="C272" s="33" t="s">
        <v>112</v>
      </c>
      <c r="D272" s="34" t="n">
        <v>125000</v>
      </c>
      <c r="E272" s="33" t="n">
        <v>7</v>
      </c>
      <c r="F272" s="34" t="n">
        <f aca="false">D272*E272</f>
        <v>875000</v>
      </c>
      <c r="G272" s="33" t="s">
        <v>50</v>
      </c>
      <c r="H272" s="33" t="str">
        <f aca="false">INDEX(Products!$C$2:$C$51,MATCH(C272,Products!$B$2:$B$51,0))</f>
        <v>Naked Bike</v>
      </c>
    </row>
    <row r="273" customFormat="false" ht="15" hidden="false" customHeight="false" outlineLevel="0" collapsed="false">
      <c r="A273" s="32" t="n">
        <v>45832</v>
      </c>
      <c r="B273" s="33" t="s">
        <v>49</v>
      </c>
      <c r="C273" s="33" t="s">
        <v>69</v>
      </c>
      <c r="D273" s="34" t="n">
        <v>164900</v>
      </c>
      <c r="E273" s="33" t="n">
        <v>13</v>
      </c>
      <c r="F273" s="34" t="n">
        <f aca="false">D273*E273</f>
        <v>2143700</v>
      </c>
      <c r="G273" s="33" t="s">
        <v>57</v>
      </c>
      <c r="H273" s="33" t="str">
        <f aca="false">INDEX(Products!$C$2:$C$51,MATCH(C273,Products!$B$2:$B$51,0))</f>
        <v>Scooter</v>
      </c>
    </row>
    <row r="274" customFormat="false" ht="15" hidden="false" customHeight="false" outlineLevel="0" collapsed="false">
      <c r="A274" s="32" t="n">
        <v>45832</v>
      </c>
      <c r="B274" s="33" t="s">
        <v>53</v>
      </c>
      <c r="C274" s="33" t="s">
        <v>61</v>
      </c>
      <c r="D274" s="34" t="n">
        <v>299000</v>
      </c>
      <c r="E274" s="33" t="n">
        <v>29</v>
      </c>
      <c r="F274" s="34" t="n">
        <f aca="false">D274*E274</f>
        <v>8671000</v>
      </c>
      <c r="G274" s="33" t="s">
        <v>54</v>
      </c>
      <c r="H274" s="33" t="str">
        <f aca="false">INDEX(Products!$C$2:$C$51,MATCH(C274,Products!$B$2:$B$51,0))</f>
        <v>Dual-Sport</v>
      </c>
    </row>
    <row r="275" customFormat="false" ht="15" hidden="false" customHeight="false" outlineLevel="0" collapsed="false">
      <c r="A275" s="32" t="n">
        <v>45832</v>
      </c>
      <c r="B275" s="33" t="s">
        <v>49</v>
      </c>
      <c r="C275" s="33" t="s">
        <v>106</v>
      </c>
      <c r="D275" s="34" t="n">
        <v>284900</v>
      </c>
      <c r="E275" s="33" t="n">
        <v>12</v>
      </c>
      <c r="F275" s="34" t="n">
        <f aca="false">D275*E275</f>
        <v>3418800</v>
      </c>
      <c r="G275" s="33" t="s">
        <v>54</v>
      </c>
      <c r="H275" s="33" t="str">
        <f aca="false">INDEX(Products!$C$2:$C$51,MATCH(C275,Products!$B$2:$B$51,0))</f>
        <v>Dual-Sport</v>
      </c>
    </row>
    <row r="276" customFormat="false" ht="15" hidden="false" customHeight="false" outlineLevel="0" collapsed="false">
      <c r="A276" s="32" t="n">
        <v>45832</v>
      </c>
      <c r="B276" s="33" t="s">
        <v>49</v>
      </c>
      <c r="C276" s="33" t="s">
        <v>113</v>
      </c>
      <c r="D276" s="34" t="n">
        <v>182000</v>
      </c>
      <c r="E276" s="33" t="n">
        <v>20</v>
      </c>
      <c r="F276" s="34" t="n">
        <f aca="false">D276*E276</f>
        <v>3640000</v>
      </c>
      <c r="G276" s="33" t="s">
        <v>54</v>
      </c>
      <c r="H276" s="33" t="str">
        <f aca="false">INDEX(Products!$C$2:$C$51,MATCH(C276,Products!$B$2:$B$51,0))</f>
        <v>Retro</v>
      </c>
    </row>
    <row r="277" customFormat="false" ht="15" hidden="false" customHeight="false" outlineLevel="0" collapsed="false">
      <c r="A277" s="32" t="n">
        <v>45832</v>
      </c>
      <c r="B277" s="33" t="s">
        <v>53</v>
      </c>
      <c r="C277" s="33" t="s">
        <v>61</v>
      </c>
      <c r="D277" s="34" t="n">
        <v>299000</v>
      </c>
      <c r="E277" s="33" t="n">
        <v>8</v>
      </c>
      <c r="F277" s="34" t="n">
        <f aca="false">D277*E277</f>
        <v>2392000</v>
      </c>
      <c r="G277" s="33" t="s">
        <v>57</v>
      </c>
      <c r="H277" s="33" t="str">
        <f aca="false">INDEX(Products!$C$2:$C$51,MATCH(C277,Products!$B$2:$B$51,0))</f>
        <v>Dual-Sport</v>
      </c>
    </row>
    <row r="278" customFormat="false" ht="15" hidden="false" customHeight="false" outlineLevel="0" collapsed="false">
      <c r="A278" s="32" t="n">
        <v>45832</v>
      </c>
      <c r="B278" s="33" t="s">
        <v>49</v>
      </c>
      <c r="C278" s="33" t="s">
        <v>104</v>
      </c>
      <c r="D278" s="34" t="n">
        <v>499000</v>
      </c>
      <c r="E278" s="33" t="n">
        <v>49</v>
      </c>
      <c r="F278" s="34" t="n">
        <f aca="false">D278*E278</f>
        <v>24451000</v>
      </c>
      <c r="G278" s="33" t="s">
        <v>50</v>
      </c>
      <c r="H278" s="33" t="str">
        <f aca="false">INDEX(Products!$C$2:$C$51,MATCH(C278,Products!$B$2:$B$51,0))</f>
        <v>Cruiser</v>
      </c>
    </row>
    <row r="279" customFormat="false" ht="15" hidden="false" customHeight="false" outlineLevel="0" collapsed="false">
      <c r="A279" s="32" t="n">
        <v>45832</v>
      </c>
      <c r="B279" s="33" t="s">
        <v>49</v>
      </c>
      <c r="C279" s="33" t="s">
        <v>101</v>
      </c>
      <c r="D279" s="34" t="n">
        <v>328000</v>
      </c>
      <c r="E279" s="33" t="n">
        <v>4</v>
      </c>
      <c r="F279" s="34" t="n">
        <f aca="false">D279*E279</f>
        <v>1312000</v>
      </c>
      <c r="G279" s="33" t="s">
        <v>50</v>
      </c>
      <c r="H279" s="33" t="str">
        <f aca="false">INDEX(Products!$C$2:$C$51,MATCH(C279,Products!$B$2:$B$51,0))</f>
        <v>Cafe Racer</v>
      </c>
    </row>
    <row r="280" customFormat="false" ht="15" hidden="false" customHeight="false" outlineLevel="0" collapsed="false">
      <c r="A280" s="32" t="n">
        <v>45832</v>
      </c>
      <c r="B280" s="33" t="s">
        <v>49</v>
      </c>
      <c r="C280" s="33" t="s">
        <v>51</v>
      </c>
      <c r="D280" s="34" t="n">
        <v>689000</v>
      </c>
      <c r="E280" s="33" t="n">
        <v>16</v>
      </c>
      <c r="F280" s="34" t="n">
        <f aca="false">D280*E280</f>
        <v>11024000</v>
      </c>
      <c r="G280" s="33" t="s">
        <v>54</v>
      </c>
      <c r="H280" s="33" t="str">
        <f aca="false">INDEX(Products!$C$2:$C$51,MATCH(C280,Products!$B$2:$B$51,0))</f>
        <v>Heritage</v>
      </c>
    </row>
    <row r="281" customFormat="false" ht="15" hidden="false" customHeight="false" outlineLevel="0" collapsed="false">
      <c r="A281" s="32" t="n">
        <v>45832</v>
      </c>
      <c r="B281" s="33" t="s">
        <v>53</v>
      </c>
      <c r="C281" s="33" t="s">
        <v>128</v>
      </c>
      <c r="D281" s="34" t="n">
        <v>68900</v>
      </c>
      <c r="E281" s="33" t="n">
        <v>17</v>
      </c>
      <c r="F281" s="34" t="n">
        <f aca="false">D281*E281</f>
        <v>1171300</v>
      </c>
      <c r="G281" s="33" t="s">
        <v>50</v>
      </c>
      <c r="H281" s="33" t="str">
        <f aca="false">INDEX(Products!$C$2:$C$51,MATCH(C281,Products!$B$2:$B$51,0))</f>
        <v>Standard</v>
      </c>
    </row>
    <row r="282" customFormat="false" ht="15" hidden="false" customHeight="false" outlineLevel="0" collapsed="false">
      <c r="A282" s="32" t="n">
        <v>45832</v>
      </c>
      <c r="B282" s="33" t="s">
        <v>49</v>
      </c>
      <c r="C282" s="33" t="s">
        <v>110</v>
      </c>
      <c r="D282" s="34" t="n">
        <v>178000</v>
      </c>
      <c r="E282" s="33" t="n">
        <v>12</v>
      </c>
      <c r="F282" s="34" t="n">
        <f aca="false">D282*E282</f>
        <v>2136000</v>
      </c>
      <c r="G282" s="33" t="s">
        <v>54</v>
      </c>
      <c r="H282" s="33" t="str">
        <f aca="false">INDEX(Products!$C$2:$C$51,MATCH(C282,Products!$B$2:$B$51,0))</f>
        <v>Naked Bike</v>
      </c>
    </row>
    <row r="283" customFormat="false" ht="15" hidden="false" customHeight="false" outlineLevel="0" collapsed="false">
      <c r="A283" s="32" t="n">
        <v>45832</v>
      </c>
      <c r="B283" s="33" t="s">
        <v>53</v>
      </c>
      <c r="C283" s="33" t="s">
        <v>67</v>
      </c>
      <c r="D283" s="34" t="n">
        <v>250000</v>
      </c>
      <c r="E283" s="33" t="n">
        <v>8</v>
      </c>
      <c r="F283" s="34" t="n">
        <f aca="false">D283*E283</f>
        <v>2000000</v>
      </c>
      <c r="G283" s="33" t="s">
        <v>50</v>
      </c>
      <c r="H283" s="33" t="str">
        <f aca="false">INDEX(Products!$C$2:$C$51,MATCH(C283,Products!$B$2:$B$51,0))</f>
        <v>Classic</v>
      </c>
    </row>
    <row r="284" customFormat="false" ht="15" hidden="false" customHeight="false" outlineLevel="0" collapsed="false">
      <c r="A284" s="32" t="n">
        <v>45833</v>
      </c>
      <c r="B284" s="33" t="s">
        <v>49</v>
      </c>
      <c r="C284" s="33" t="s">
        <v>111</v>
      </c>
      <c r="D284" s="34" t="n">
        <v>129000</v>
      </c>
      <c r="E284" s="33" t="n">
        <v>8</v>
      </c>
      <c r="F284" s="34" t="n">
        <f aca="false">D284*E284</f>
        <v>1032000</v>
      </c>
      <c r="G284" s="33" t="s">
        <v>54</v>
      </c>
      <c r="H284" s="33" t="str">
        <f aca="false">INDEX(Products!$C$2:$C$51,MATCH(C284,Products!$B$2:$B$51,0))</f>
        <v>Naked Bike</v>
      </c>
    </row>
    <row r="285" customFormat="false" ht="15" hidden="false" customHeight="false" outlineLevel="0" collapsed="false">
      <c r="A285" s="32" t="n">
        <v>45833</v>
      </c>
      <c r="B285" s="33" t="s">
        <v>49</v>
      </c>
      <c r="C285" s="33" t="s">
        <v>60</v>
      </c>
      <c r="D285" s="34" t="n">
        <v>599000</v>
      </c>
      <c r="E285" s="33" t="n">
        <v>33</v>
      </c>
      <c r="F285" s="34" t="n">
        <f aca="false">D285*E285</f>
        <v>19767000</v>
      </c>
      <c r="G285" s="33" t="s">
        <v>57</v>
      </c>
      <c r="H285" s="33" t="str">
        <f aca="false">INDEX(Products!$C$2:$C$51,MATCH(C285,Products!$B$2:$B$51,0))</f>
        <v>Naked Bike</v>
      </c>
    </row>
    <row r="286" customFormat="false" ht="15" hidden="false" customHeight="false" outlineLevel="0" collapsed="false">
      <c r="A286" s="32" t="n">
        <v>45833</v>
      </c>
      <c r="B286" s="33" t="s">
        <v>53</v>
      </c>
      <c r="C286" s="33" t="s">
        <v>60</v>
      </c>
      <c r="D286" s="34" t="n">
        <v>599000</v>
      </c>
      <c r="E286" s="33" t="n">
        <v>5</v>
      </c>
      <c r="F286" s="34" t="n">
        <f aca="false">D286*E286</f>
        <v>2995000</v>
      </c>
      <c r="G286" s="33" t="s">
        <v>57</v>
      </c>
      <c r="H286" s="33" t="str">
        <f aca="false">INDEX(Products!$C$2:$C$51,MATCH(C286,Products!$B$2:$B$51,0))</f>
        <v>Naked Bike</v>
      </c>
    </row>
    <row r="287" customFormat="false" ht="15" hidden="false" customHeight="false" outlineLevel="0" collapsed="false">
      <c r="A287" s="32" t="n">
        <v>45833</v>
      </c>
      <c r="B287" s="33" t="s">
        <v>53</v>
      </c>
      <c r="C287" s="33" t="s">
        <v>124</v>
      </c>
      <c r="D287" s="34" t="n">
        <v>295000</v>
      </c>
      <c r="E287" s="33" t="n">
        <v>12</v>
      </c>
      <c r="F287" s="34" t="n">
        <f aca="false">D287*E287</f>
        <v>3540000</v>
      </c>
      <c r="G287" s="33" t="s">
        <v>50</v>
      </c>
      <c r="H287" s="33" t="str">
        <f aca="false">INDEX(Products!$C$2:$C$51,MATCH(C287,Products!$B$2:$B$51,0))</f>
        <v>Scrambler</v>
      </c>
    </row>
    <row r="288" customFormat="false" ht="15" hidden="false" customHeight="false" outlineLevel="0" collapsed="false">
      <c r="A288" s="32" t="n">
        <v>45833</v>
      </c>
      <c r="B288" s="33" t="s">
        <v>49</v>
      </c>
      <c r="C288" s="33" t="s">
        <v>71</v>
      </c>
      <c r="D288" s="34" t="n">
        <v>165000</v>
      </c>
      <c r="E288" s="33" t="n">
        <v>2</v>
      </c>
      <c r="F288" s="34" t="n">
        <f aca="false">D288*E288</f>
        <v>330000</v>
      </c>
      <c r="G288" s="33" t="s">
        <v>54</v>
      </c>
      <c r="H288" s="33" t="str">
        <f aca="false">INDEX(Products!$C$2:$C$51,MATCH(C288,Products!$B$2:$B$51,0))</f>
        <v>Naked Bike</v>
      </c>
    </row>
    <row r="289" customFormat="false" ht="15" hidden="false" customHeight="false" outlineLevel="0" collapsed="false">
      <c r="A289" s="32" t="n">
        <v>45833</v>
      </c>
      <c r="B289" s="33" t="s">
        <v>49</v>
      </c>
      <c r="C289" s="33" t="s">
        <v>117</v>
      </c>
      <c r="D289" s="34" t="n">
        <v>210000</v>
      </c>
      <c r="E289" s="33" t="n">
        <v>1</v>
      </c>
      <c r="F289" s="34" t="n">
        <f aca="false">D289*E289</f>
        <v>210000</v>
      </c>
      <c r="G289" s="33" t="s">
        <v>57</v>
      </c>
      <c r="H289" s="33" t="str">
        <f aca="false">INDEX(Products!$C$2:$C$51,MATCH(C289,Products!$B$2:$B$51,0))</f>
        <v>Scooter</v>
      </c>
    </row>
    <row r="290" customFormat="false" ht="15" hidden="false" customHeight="false" outlineLevel="0" collapsed="false">
      <c r="A290" s="32" t="n">
        <v>45833</v>
      </c>
      <c r="B290" s="33" t="s">
        <v>53</v>
      </c>
      <c r="C290" s="33" t="s">
        <v>68</v>
      </c>
      <c r="D290" s="34" t="n">
        <v>389000</v>
      </c>
      <c r="E290" s="33" t="n">
        <v>47</v>
      </c>
      <c r="F290" s="34" t="n">
        <f aca="false">D290*E290</f>
        <v>18283000</v>
      </c>
      <c r="G290" s="33" t="s">
        <v>57</v>
      </c>
      <c r="H290" s="33" t="str">
        <f aca="false">INDEX(Products!$C$2:$C$51,MATCH(C290,Products!$B$2:$B$51,0))</f>
        <v>Sport</v>
      </c>
    </row>
    <row r="291" customFormat="false" ht="15" hidden="false" customHeight="false" outlineLevel="0" collapsed="false">
      <c r="A291" s="32" t="n">
        <v>45833</v>
      </c>
      <c r="B291" s="33" t="s">
        <v>53</v>
      </c>
      <c r="C291" s="33" t="s">
        <v>52</v>
      </c>
      <c r="D291" s="34" t="n">
        <v>398000</v>
      </c>
      <c r="E291" s="33" t="n">
        <v>4</v>
      </c>
      <c r="F291" s="34" t="n">
        <f aca="false">D291*E291</f>
        <v>1592000</v>
      </c>
      <c r="G291" s="33" t="s">
        <v>54</v>
      </c>
      <c r="H291" s="33" t="str">
        <f aca="false">INDEX(Products!$C$2:$C$51,MATCH(C291,Products!$B$2:$B$51,0))</f>
        <v>Cruiser</v>
      </c>
    </row>
    <row r="292" customFormat="false" ht="15" hidden="false" customHeight="false" outlineLevel="0" collapsed="false">
      <c r="A292" s="32" t="n">
        <v>45833</v>
      </c>
      <c r="B292" s="33" t="s">
        <v>53</v>
      </c>
      <c r="C292" s="33" t="s">
        <v>103</v>
      </c>
      <c r="D292" s="34" t="n">
        <v>48000</v>
      </c>
      <c r="E292" s="33" t="n">
        <v>40</v>
      </c>
      <c r="F292" s="34" t="n">
        <f aca="false">D292*E292</f>
        <v>1920000</v>
      </c>
      <c r="G292" s="33" t="s">
        <v>57</v>
      </c>
      <c r="H292" s="33" t="str">
        <f aca="false">INDEX(Products!$C$2:$C$51,MATCH(C292,Products!$B$2:$B$51,0))</f>
        <v>Commuter</v>
      </c>
    </row>
    <row r="293" customFormat="false" ht="15" hidden="false" customHeight="false" outlineLevel="0" collapsed="false">
      <c r="A293" s="32" t="n">
        <v>45833</v>
      </c>
      <c r="B293" s="33" t="s">
        <v>53</v>
      </c>
      <c r="C293" s="33" t="s">
        <v>124</v>
      </c>
      <c r="D293" s="34" t="n">
        <v>295000</v>
      </c>
      <c r="E293" s="33" t="n">
        <v>50</v>
      </c>
      <c r="F293" s="34" t="n">
        <f aca="false">D293*E293</f>
        <v>14750000</v>
      </c>
      <c r="G293" s="33" t="s">
        <v>50</v>
      </c>
      <c r="H293" s="33" t="str">
        <f aca="false">INDEX(Products!$C$2:$C$51,MATCH(C293,Products!$B$2:$B$51,0))</f>
        <v>Scrambler</v>
      </c>
    </row>
    <row r="294" customFormat="false" ht="15" hidden="false" customHeight="false" outlineLevel="0" collapsed="false">
      <c r="A294" s="32" t="n">
        <v>45834</v>
      </c>
      <c r="B294" s="33" t="s">
        <v>49</v>
      </c>
      <c r="C294" s="33" t="s">
        <v>58</v>
      </c>
      <c r="D294" s="34" t="n">
        <v>995000</v>
      </c>
      <c r="E294" s="33" t="n">
        <v>15</v>
      </c>
      <c r="F294" s="34" t="n">
        <f aca="false">D294*E294</f>
        <v>14925000</v>
      </c>
      <c r="G294" s="33" t="s">
        <v>50</v>
      </c>
      <c r="H294" s="33" t="str">
        <f aca="false">INDEX(Products!$C$2:$C$51,MATCH(C294,Products!$B$2:$B$51,0))</f>
        <v>Heritage</v>
      </c>
    </row>
    <row r="295" customFormat="false" ht="15" hidden="false" customHeight="false" outlineLevel="0" collapsed="false">
      <c r="A295" s="32" t="n">
        <v>45834</v>
      </c>
      <c r="B295" s="33" t="s">
        <v>49</v>
      </c>
      <c r="C295" s="33" t="s">
        <v>67</v>
      </c>
      <c r="D295" s="34" t="n">
        <v>250000</v>
      </c>
      <c r="E295" s="33" t="n">
        <v>19</v>
      </c>
      <c r="F295" s="34" t="n">
        <f aca="false">D295*E295</f>
        <v>4750000</v>
      </c>
      <c r="G295" s="33" t="s">
        <v>57</v>
      </c>
      <c r="H295" s="33" t="str">
        <f aca="false">INDEX(Products!$C$2:$C$51,MATCH(C295,Products!$B$2:$B$51,0))</f>
        <v>Classic</v>
      </c>
    </row>
    <row r="296" customFormat="false" ht="15" hidden="false" customHeight="false" outlineLevel="0" collapsed="false">
      <c r="A296" s="32" t="n">
        <v>45834</v>
      </c>
      <c r="B296" s="33" t="s">
        <v>53</v>
      </c>
      <c r="C296" s="33" t="s">
        <v>63</v>
      </c>
      <c r="D296" s="34" t="n">
        <v>99900</v>
      </c>
      <c r="E296" s="33" t="n">
        <v>16</v>
      </c>
      <c r="F296" s="34" t="n">
        <f aca="false">D296*E296</f>
        <v>1598400</v>
      </c>
      <c r="G296" s="33" t="s">
        <v>57</v>
      </c>
      <c r="H296" s="33" t="str">
        <f aca="false">INDEX(Products!$C$2:$C$51,MATCH(C296,Products!$B$2:$B$51,0))</f>
        <v>Street</v>
      </c>
    </row>
    <row r="297" customFormat="false" ht="15" hidden="false" customHeight="false" outlineLevel="0" collapsed="false">
      <c r="A297" s="32" t="n">
        <v>45834</v>
      </c>
      <c r="B297" s="33" t="s">
        <v>49</v>
      </c>
      <c r="C297" s="33" t="s">
        <v>69</v>
      </c>
      <c r="D297" s="34" t="n">
        <v>164900</v>
      </c>
      <c r="E297" s="33" t="n">
        <v>19</v>
      </c>
      <c r="F297" s="34" t="n">
        <f aca="false">D297*E297</f>
        <v>3133100</v>
      </c>
      <c r="G297" s="33" t="s">
        <v>54</v>
      </c>
      <c r="H297" s="33" t="str">
        <f aca="false">INDEX(Products!$C$2:$C$51,MATCH(C297,Products!$B$2:$B$51,0))</f>
        <v>Scooter</v>
      </c>
    </row>
    <row r="298" customFormat="false" ht="15" hidden="false" customHeight="false" outlineLevel="0" collapsed="false">
      <c r="A298" s="32" t="n">
        <v>45834</v>
      </c>
      <c r="B298" s="33" t="s">
        <v>53</v>
      </c>
      <c r="C298" s="33" t="s">
        <v>101</v>
      </c>
      <c r="D298" s="34" t="n">
        <v>328000</v>
      </c>
      <c r="E298" s="33" t="n">
        <v>20</v>
      </c>
      <c r="F298" s="34" t="n">
        <f aca="false">D298*E298</f>
        <v>6560000</v>
      </c>
      <c r="G298" s="33" t="s">
        <v>54</v>
      </c>
      <c r="H298" s="33" t="str">
        <f aca="false">INDEX(Products!$C$2:$C$51,MATCH(C298,Products!$B$2:$B$51,0))</f>
        <v>Cafe Racer</v>
      </c>
    </row>
    <row r="299" customFormat="false" ht="15" hidden="false" customHeight="false" outlineLevel="0" collapsed="false">
      <c r="A299" s="32" t="n">
        <v>45834</v>
      </c>
      <c r="B299" s="33" t="s">
        <v>49</v>
      </c>
      <c r="C299" s="33" t="s">
        <v>130</v>
      </c>
      <c r="D299" s="34" t="n">
        <v>119900</v>
      </c>
      <c r="E299" s="33" t="n">
        <v>12</v>
      </c>
      <c r="F299" s="34" t="n">
        <f aca="false">D299*E299</f>
        <v>1438800</v>
      </c>
      <c r="G299" s="33" t="s">
        <v>54</v>
      </c>
      <c r="H299" s="33" t="str">
        <f aca="false">INDEX(Products!$C$2:$C$51,MATCH(C299,Products!$B$2:$B$51,0))</f>
        <v>Underbone</v>
      </c>
    </row>
    <row r="300" customFormat="false" ht="15" hidden="false" customHeight="false" outlineLevel="0" collapsed="false">
      <c r="A300" s="32" t="n">
        <v>45834</v>
      </c>
      <c r="B300" s="33" t="s">
        <v>53</v>
      </c>
      <c r="C300" s="33" t="s">
        <v>105</v>
      </c>
      <c r="D300" s="34" t="n">
        <v>349000</v>
      </c>
      <c r="E300" s="33" t="n">
        <v>40</v>
      </c>
      <c r="F300" s="34" t="n">
        <f aca="false">D300*E300</f>
        <v>13960000</v>
      </c>
      <c r="G300" s="33" t="s">
        <v>54</v>
      </c>
      <c r="H300" s="33" t="str">
        <f aca="false">INDEX(Products!$C$2:$C$51,MATCH(C300,Products!$B$2:$B$51,0))</f>
        <v>Cruiser</v>
      </c>
    </row>
    <row r="301" customFormat="false" ht="15" hidden="false" customHeight="false" outlineLevel="0" collapsed="false">
      <c r="A301" s="32" t="n">
        <v>45834</v>
      </c>
      <c r="B301" s="33" t="s">
        <v>49</v>
      </c>
      <c r="C301" s="33" t="s">
        <v>61</v>
      </c>
      <c r="D301" s="34" t="n">
        <v>299000</v>
      </c>
      <c r="E301" s="33" t="n">
        <v>28</v>
      </c>
      <c r="F301" s="34" t="n">
        <f aca="false">D301*E301</f>
        <v>8372000</v>
      </c>
      <c r="G301" s="33" t="s">
        <v>54</v>
      </c>
      <c r="H301" s="33" t="str">
        <f aca="false">INDEX(Products!$C$2:$C$51,MATCH(C301,Products!$B$2:$B$51,0))</f>
        <v>Dual-Sport</v>
      </c>
    </row>
    <row r="302" customFormat="false" ht="15" hidden="false" customHeight="false" outlineLevel="0" collapsed="false">
      <c r="A302" s="32" t="n">
        <v>45834</v>
      </c>
      <c r="B302" s="33" t="s">
        <v>53</v>
      </c>
      <c r="C302" s="33" t="s">
        <v>99</v>
      </c>
      <c r="D302" s="34" t="n">
        <v>369000</v>
      </c>
      <c r="E302" s="33" t="n">
        <v>16</v>
      </c>
      <c r="F302" s="34" t="n">
        <f aca="false">D302*E302</f>
        <v>5904000</v>
      </c>
      <c r="G302" s="33" t="s">
        <v>54</v>
      </c>
      <c r="H302" s="33" t="str">
        <f aca="false">INDEX(Products!$C$2:$C$51,MATCH(C302,Products!$B$2:$B$51,0))</f>
        <v>Adventure</v>
      </c>
    </row>
    <row r="303" customFormat="false" ht="15" hidden="false" customHeight="false" outlineLevel="0" collapsed="false">
      <c r="A303" s="32" t="n">
        <v>45834</v>
      </c>
      <c r="B303" s="33" t="s">
        <v>53</v>
      </c>
      <c r="C303" s="33" t="s">
        <v>69</v>
      </c>
      <c r="D303" s="34" t="n">
        <v>164900</v>
      </c>
      <c r="E303" s="33" t="n">
        <v>7</v>
      </c>
      <c r="F303" s="34" t="n">
        <f aca="false">D303*E303</f>
        <v>1154300</v>
      </c>
      <c r="G303" s="33" t="s">
        <v>50</v>
      </c>
      <c r="H303" s="33" t="str">
        <f aca="false">INDEX(Products!$C$2:$C$51,MATCH(C303,Products!$B$2:$B$51,0))</f>
        <v>Scooter</v>
      </c>
    </row>
    <row r="304" customFormat="false" ht="15" hidden="false" customHeight="false" outlineLevel="0" collapsed="false">
      <c r="A304" s="32" t="n">
        <v>45834</v>
      </c>
      <c r="B304" s="33" t="s">
        <v>53</v>
      </c>
      <c r="C304" s="33" t="s">
        <v>64</v>
      </c>
      <c r="D304" s="34" t="n">
        <v>248000</v>
      </c>
      <c r="E304" s="33" t="n">
        <v>6</v>
      </c>
      <c r="F304" s="34" t="n">
        <f aca="false">D304*E304</f>
        <v>1488000</v>
      </c>
      <c r="G304" s="33" t="s">
        <v>50</v>
      </c>
      <c r="H304" s="33" t="str">
        <f aca="false">INDEX(Products!$C$2:$C$51,MATCH(C304,Products!$B$2:$B$51,0))</f>
        <v>Adventure</v>
      </c>
    </row>
    <row r="305" customFormat="false" ht="15" hidden="false" customHeight="false" outlineLevel="0" collapsed="false">
      <c r="A305" s="32" t="n">
        <v>45834</v>
      </c>
      <c r="B305" s="33" t="s">
        <v>49</v>
      </c>
      <c r="C305" s="33" t="s">
        <v>66</v>
      </c>
      <c r="D305" s="34" t="n">
        <v>398000</v>
      </c>
      <c r="E305" s="33" t="n">
        <v>18</v>
      </c>
      <c r="F305" s="34" t="n">
        <f aca="false">D305*E305</f>
        <v>7164000</v>
      </c>
      <c r="G305" s="33" t="s">
        <v>50</v>
      </c>
      <c r="H305" s="33" t="str">
        <f aca="false">INDEX(Products!$C$2:$C$51,MATCH(C305,Products!$B$2:$B$51,0))</f>
        <v>Scooter</v>
      </c>
    </row>
    <row r="306" customFormat="false" ht="15" hidden="false" customHeight="false" outlineLevel="0" collapsed="false">
      <c r="A306" s="32" t="n">
        <v>45835</v>
      </c>
      <c r="B306" s="33" t="s">
        <v>49</v>
      </c>
      <c r="C306" s="33" t="s">
        <v>122</v>
      </c>
      <c r="D306" s="34" t="n">
        <v>80900</v>
      </c>
      <c r="E306" s="33" t="n">
        <v>3</v>
      </c>
      <c r="F306" s="34" t="n">
        <f aca="false">D306*E306</f>
        <v>242700</v>
      </c>
      <c r="G306" s="33" t="s">
        <v>57</v>
      </c>
      <c r="H306" s="33" t="str">
        <f aca="false">INDEX(Products!$C$2:$C$51,MATCH(C306,Products!$B$2:$B$51,0))</f>
        <v>Scooter</v>
      </c>
    </row>
    <row r="307" customFormat="false" ht="15" hidden="false" customHeight="false" outlineLevel="0" collapsed="false">
      <c r="A307" s="32" t="n">
        <v>45835</v>
      </c>
      <c r="B307" s="33" t="s">
        <v>49</v>
      </c>
      <c r="C307" s="33" t="s">
        <v>59</v>
      </c>
      <c r="D307" s="34" t="n">
        <v>165000</v>
      </c>
      <c r="E307" s="33" t="n">
        <v>19</v>
      </c>
      <c r="F307" s="34" t="n">
        <f aca="false">D307*E307</f>
        <v>3135000</v>
      </c>
      <c r="G307" s="33" t="s">
        <v>50</v>
      </c>
      <c r="H307" s="33" t="str">
        <f aca="false">INDEX(Products!$C$2:$C$51,MATCH(C307,Products!$B$2:$B$51,0))</f>
        <v>Sport</v>
      </c>
    </row>
    <row r="308" customFormat="false" ht="15" hidden="false" customHeight="false" outlineLevel="0" collapsed="false">
      <c r="A308" s="32" t="n">
        <v>45835</v>
      </c>
      <c r="B308" s="33" t="s">
        <v>53</v>
      </c>
      <c r="C308" s="33" t="s">
        <v>71</v>
      </c>
      <c r="D308" s="34" t="n">
        <v>165000</v>
      </c>
      <c r="E308" s="33" t="n">
        <v>19</v>
      </c>
      <c r="F308" s="34" t="n">
        <f aca="false">D308*E308</f>
        <v>3135000</v>
      </c>
      <c r="G308" s="33" t="s">
        <v>54</v>
      </c>
      <c r="H308" s="33" t="str">
        <f aca="false">INDEX(Products!$C$2:$C$51,MATCH(C308,Products!$B$2:$B$51,0))</f>
        <v>Naked Bike</v>
      </c>
    </row>
    <row r="309" customFormat="false" ht="15" hidden="false" customHeight="false" outlineLevel="0" collapsed="false">
      <c r="A309" s="32" t="n">
        <v>45835</v>
      </c>
      <c r="B309" s="33" t="s">
        <v>53</v>
      </c>
      <c r="C309" s="33" t="s">
        <v>122</v>
      </c>
      <c r="D309" s="34" t="n">
        <v>80900</v>
      </c>
      <c r="E309" s="33" t="n">
        <v>21</v>
      </c>
      <c r="F309" s="34" t="n">
        <f aca="false">D309*E309</f>
        <v>1698900</v>
      </c>
      <c r="G309" s="33" t="s">
        <v>57</v>
      </c>
      <c r="H309" s="33" t="str">
        <f aca="false">INDEX(Products!$C$2:$C$51,MATCH(C309,Products!$B$2:$B$51,0))</f>
        <v>Scooter</v>
      </c>
    </row>
    <row r="310" customFormat="false" ht="15" hidden="false" customHeight="false" outlineLevel="0" collapsed="false">
      <c r="A310" s="32" t="n">
        <v>45835</v>
      </c>
      <c r="B310" s="33" t="s">
        <v>49</v>
      </c>
      <c r="C310" s="33" t="s">
        <v>117</v>
      </c>
      <c r="D310" s="34" t="n">
        <v>210000</v>
      </c>
      <c r="E310" s="33" t="n">
        <v>16</v>
      </c>
      <c r="F310" s="34" t="n">
        <f aca="false">D310*E310</f>
        <v>3360000</v>
      </c>
      <c r="G310" s="33" t="s">
        <v>50</v>
      </c>
      <c r="H310" s="33" t="str">
        <f aca="false">INDEX(Products!$C$2:$C$51,MATCH(C310,Products!$B$2:$B$51,0))</f>
        <v>Scooter</v>
      </c>
    </row>
    <row r="311" customFormat="false" ht="15" hidden="false" customHeight="false" outlineLevel="0" collapsed="false">
      <c r="A311" s="32" t="n">
        <v>45835</v>
      </c>
      <c r="B311" s="33" t="s">
        <v>53</v>
      </c>
      <c r="C311" s="33" t="s">
        <v>105</v>
      </c>
      <c r="D311" s="34" t="n">
        <v>349000</v>
      </c>
      <c r="E311" s="33" t="n">
        <v>46</v>
      </c>
      <c r="F311" s="34" t="n">
        <f aca="false">D311*E311</f>
        <v>16054000</v>
      </c>
      <c r="G311" s="33" t="s">
        <v>50</v>
      </c>
      <c r="H311" s="33" t="str">
        <f aca="false">INDEX(Products!$C$2:$C$51,MATCH(C311,Products!$B$2:$B$51,0))</f>
        <v>Cruiser</v>
      </c>
    </row>
    <row r="312" customFormat="false" ht="15" hidden="false" customHeight="false" outlineLevel="0" collapsed="false">
      <c r="A312" s="32" t="n">
        <v>45835</v>
      </c>
      <c r="B312" s="33" t="s">
        <v>49</v>
      </c>
      <c r="C312" s="33" t="s">
        <v>131</v>
      </c>
      <c r="D312" s="34" t="n">
        <v>72900</v>
      </c>
      <c r="E312" s="33" t="n">
        <v>8</v>
      </c>
      <c r="F312" s="34" t="n">
        <f aca="false">D312*E312</f>
        <v>583200</v>
      </c>
      <c r="G312" s="33" t="s">
        <v>50</v>
      </c>
      <c r="H312" s="33" t="str">
        <f aca="false">INDEX(Products!$C$2:$C$51,MATCH(C312,Products!$B$2:$B$51,0))</f>
        <v>Underbone</v>
      </c>
    </row>
    <row r="313" customFormat="false" ht="15" hidden="false" customHeight="false" outlineLevel="0" collapsed="false">
      <c r="A313" s="32" t="n">
        <v>45835</v>
      </c>
      <c r="B313" s="33" t="s">
        <v>49</v>
      </c>
      <c r="C313" s="33" t="s">
        <v>110</v>
      </c>
      <c r="D313" s="34" t="n">
        <v>178000</v>
      </c>
      <c r="E313" s="33" t="n">
        <v>14</v>
      </c>
      <c r="F313" s="34" t="n">
        <f aca="false">D313*E313</f>
        <v>2492000</v>
      </c>
      <c r="G313" s="33" t="s">
        <v>57</v>
      </c>
      <c r="H313" s="33" t="str">
        <f aca="false">INDEX(Products!$C$2:$C$51,MATCH(C313,Products!$B$2:$B$51,0))</f>
        <v>Naked Bike</v>
      </c>
    </row>
    <row r="314" customFormat="false" ht="15" hidden="false" customHeight="false" outlineLevel="0" collapsed="false">
      <c r="A314" s="32" t="n">
        <v>45835</v>
      </c>
      <c r="B314" s="33" t="s">
        <v>49</v>
      </c>
      <c r="C314" s="33" t="s">
        <v>113</v>
      </c>
      <c r="D314" s="34" t="n">
        <v>182000</v>
      </c>
      <c r="E314" s="33" t="n">
        <v>21</v>
      </c>
      <c r="F314" s="34" t="n">
        <f aca="false">D314*E314</f>
        <v>3822000</v>
      </c>
      <c r="G314" s="33" t="s">
        <v>57</v>
      </c>
      <c r="H314" s="33" t="str">
        <f aca="false">INDEX(Products!$C$2:$C$51,MATCH(C314,Products!$B$2:$B$51,0))</f>
        <v>Retro</v>
      </c>
    </row>
    <row r="315" customFormat="false" ht="15" hidden="false" customHeight="false" outlineLevel="0" collapsed="false">
      <c r="A315" s="32" t="n">
        <v>45835</v>
      </c>
      <c r="B315" s="33" t="s">
        <v>49</v>
      </c>
      <c r="C315" s="33" t="s">
        <v>62</v>
      </c>
      <c r="D315" s="34" t="n">
        <v>650000</v>
      </c>
      <c r="E315" s="33" t="n">
        <v>8</v>
      </c>
      <c r="F315" s="34" t="n">
        <f aca="false">D315*E315</f>
        <v>5200000</v>
      </c>
      <c r="G315" s="33" t="s">
        <v>54</v>
      </c>
      <c r="H315" s="33" t="str">
        <f aca="false">INDEX(Products!$C$2:$C$51,MATCH(C315,Products!$B$2:$B$51,0))</f>
        <v>Cruiser</v>
      </c>
    </row>
    <row r="316" customFormat="false" ht="15" hidden="false" customHeight="false" outlineLevel="0" collapsed="false">
      <c r="A316" s="32" t="n">
        <v>45835</v>
      </c>
      <c r="B316" s="33" t="s">
        <v>49</v>
      </c>
      <c r="C316" s="33" t="s">
        <v>125</v>
      </c>
      <c r="D316" s="34" t="n">
        <v>340000</v>
      </c>
      <c r="E316" s="33" t="n">
        <v>2</v>
      </c>
      <c r="F316" s="34" t="n">
        <f aca="false">D316*E316</f>
        <v>680000</v>
      </c>
      <c r="G316" s="33" t="s">
        <v>50</v>
      </c>
      <c r="H316" s="33" t="str">
        <f aca="false">INDEX(Products!$C$2:$C$51,MATCH(C316,Products!$B$2:$B$51,0))</f>
        <v>Sport</v>
      </c>
    </row>
    <row r="317" customFormat="false" ht="15" hidden="false" customHeight="false" outlineLevel="0" collapsed="false">
      <c r="A317" s="32" t="n">
        <v>45836</v>
      </c>
      <c r="B317" s="33" t="s">
        <v>53</v>
      </c>
      <c r="C317" s="33" t="s">
        <v>61</v>
      </c>
      <c r="D317" s="34" t="n">
        <v>299000</v>
      </c>
      <c r="E317" s="33" t="n">
        <v>26</v>
      </c>
      <c r="F317" s="34" t="n">
        <f aca="false">D317*E317</f>
        <v>7774000</v>
      </c>
      <c r="G317" s="33" t="s">
        <v>54</v>
      </c>
      <c r="H317" s="33" t="str">
        <f aca="false">INDEX(Products!$C$2:$C$51,MATCH(C317,Products!$B$2:$B$51,0))</f>
        <v>Dual-Sport</v>
      </c>
    </row>
    <row r="318" customFormat="false" ht="15" hidden="false" customHeight="false" outlineLevel="0" collapsed="false">
      <c r="A318" s="32" t="n">
        <v>45836</v>
      </c>
      <c r="B318" s="33" t="s">
        <v>49</v>
      </c>
      <c r="C318" s="33" t="s">
        <v>117</v>
      </c>
      <c r="D318" s="34" t="n">
        <v>210000</v>
      </c>
      <c r="E318" s="33" t="n">
        <v>46</v>
      </c>
      <c r="F318" s="34" t="n">
        <f aca="false">D318*E318</f>
        <v>9660000</v>
      </c>
      <c r="G318" s="33" t="s">
        <v>50</v>
      </c>
      <c r="H318" s="33" t="str">
        <f aca="false">INDEX(Products!$C$2:$C$51,MATCH(C318,Products!$B$2:$B$51,0))</f>
        <v>Scooter</v>
      </c>
    </row>
    <row r="319" customFormat="false" ht="15" hidden="false" customHeight="false" outlineLevel="0" collapsed="false">
      <c r="A319" s="32" t="n">
        <v>45836</v>
      </c>
      <c r="B319" s="33" t="s">
        <v>53</v>
      </c>
      <c r="C319" s="33" t="s">
        <v>101</v>
      </c>
      <c r="D319" s="34" t="n">
        <v>328000</v>
      </c>
      <c r="E319" s="33" t="n">
        <v>1</v>
      </c>
      <c r="F319" s="34" t="n">
        <f aca="false">D319*E319</f>
        <v>328000</v>
      </c>
      <c r="G319" s="33" t="s">
        <v>54</v>
      </c>
      <c r="H319" s="33" t="str">
        <f aca="false">INDEX(Products!$C$2:$C$51,MATCH(C319,Products!$B$2:$B$51,0))</f>
        <v>Cafe Racer</v>
      </c>
    </row>
    <row r="320" customFormat="false" ht="15" hidden="false" customHeight="false" outlineLevel="0" collapsed="false">
      <c r="A320" s="32" t="n">
        <v>45836</v>
      </c>
      <c r="B320" s="33" t="s">
        <v>49</v>
      </c>
      <c r="C320" s="33" t="s">
        <v>70</v>
      </c>
      <c r="D320" s="34" t="n">
        <v>320000</v>
      </c>
      <c r="E320" s="33" t="n">
        <v>3</v>
      </c>
      <c r="F320" s="34" t="n">
        <f aca="false">D320*E320</f>
        <v>960000</v>
      </c>
      <c r="G320" s="33" t="s">
        <v>54</v>
      </c>
      <c r="H320" s="33" t="str">
        <f aca="false">INDEX(Products!$C$2:$C$51,MATCH(C320,Products!$B$2:$B$51,0))</f>
        <v>Adventure</v>
      </c>
    </row>
    <row r="321" customFormat="false" ht="15" hidden="false" customHeight="false" outlineLevel="0" collapsed="false">
      <c r="A321" s="32" t="n">
        <v>45836</v>
      </c>
      <c r="B321" s="33" t="s">
        <v>53</v>
      </c>
      <c r="C321" s="33" t="s">
        <v>113</v>
      </c>
      <c r="D321" s="34" t="n">
        <v>182000</v>
      </c>
      <c r="E321" s="33" t="n">
        <v>2</v>
      </c>
      <c r="F321" s="34" t="n">
        <f aca="false">D321*E321</f>
        <v>364000</v>
      </c>
      <c r="G321" s="33" t="s">
        <v>54</v>
      </c>
      <c r="H321" s="33" t="str">
        <f aca="false">INDEX(Products!$C$2:$C$51,MATCH(C321,Products!$B$2:$B$51,0))</f>
        <v>Retro</v>
      </c>
    </row>
    <row r="322" customFormat="false" ht="15" hidden="false" customHeight="false" outlineLevel="0" collapsed="false">
      <c r="A322" s="32" t="n">
        <v>45836</v>
      </c>
      <c r="B322" s="33" t="s">
        <v>53</v>
      </c>
      <c r="C322" s="33" t="s">
        <v>125</v>
      </c>
      <c r="D322" s="34" t="n">
        <v>340000</v>
      </c>
      <c r="E322" s="33" t="n">
        <v>8</v>
      </c>
      <c r="F322" s="34" t="n">
        <f aca="false">D322*E322</f>
        <v>2720000</v>
      </c>
      <c r="G322" s="33" t="s">
        <v>56</v>
      </c>
      <c r="H322" s="33" t="str">
        <f aca="false">INDEX(Products!$C$2:$C$51,MATCH(C322,Products!$B$2:$B$51,0))</f>
        <v>Sport</v>
      </c>
    </row>
    <row r="323" customFormat="false" ht="15" hidden="false" customHeight="false" outlineLevel="0" collapsed="false">
      <c r="A323" s="32" t="n">
        <v>45836</v>
      </c>
      <c r="B323" s="33" t="s">
        <v>49</v>
      </c>
      <c r="C323" s="33" t="s">
        <v>103</v>
      </c>
      <c r="D323" s="34" t="n">
        <v>48000</v>
      </c>
      <c r="E323" s="33" t="n">
        <v>48</v>
      </c>
      <c r="F323" s="34" t="n">
        <f aca="false">D323*E323</f>
        <v>2304000</v>
      </c>
      <c r="G323" s="33" t="s">
        <v>57</v>
      </c>
      <c r="H323" s="33" t="str">
        <f aca="false">INDEX(Products!$C$2:$C$51,MATCH(C323,Products!$B$2:$B$51,0))</f>
        <v>Commuter</v>
      </c>
    </row>
    <row r="324" customFormat="false" ht="15" hidden="false" customHeight="false" outlineLevel="0" collapsed="false">
      <c r="A324" s="32" t="n">
        <v>45836</v>
      </c>
      <c r="B324" s="33" t="s">
        <v>53</v>
      </c>
      <c r="C324" s="33" t="s">
        <v>121</v>
      </c>
      <c r="D324" s="34" t="n">
        <v>80900</v>
      </c>
      <c r="E324" s="33" t="n">
        <v>16</v>
      </c>
      <c r="F324" s="34" t="n">
        <f aca="false">D324*E324</f>
        <v>1294400</v>
      </c>
      <c r="G324" s="33" t="s">
        <v>54</v>
      </c>
      <c r="H324" s="33" t="str">
        <f aca="false">INDEX(Products!$C$2:$C$51,MATCH(C324,Products!$B$2:$B$51,0))</f>
        <v>Scooter</v>
      </c>
    </row>
    <row r="325" customFormat="false" ht="15" hidden="false" customHeight="false" outlineLevel="0" collapsed="false">
      <c r="A325" s="32" t="n">
        <v>45836</v>
      </c>
      <c r="B325" s="33" t="s">
        <v>53</v>
      </c>
      <c r="C325" s="33" t="s">
        <v>102</v>
      </c>
      <c r="D325" s="34" t="n">
        <v>269000</v>
      </c>
      <c r="E325" s="33" t="n">
        <v>14</v>
      </c>
      <c r="F325" s="34" t="n">
        <f aca="false">D325*E325</f>
        <v>3766000</v>
      </c>
      <c r="G325" s="33" t="s">
        <v>57</v>
      </c>
      <c r="H325" s="33" t="str">
        <f aca="false">INDEX(Products!$C$2:$C$51,MATCH(C325,Products!$B$2:$B$51,0))</f>
        <v>Cafe Racer</v>
      </c>
    </row>
    <row r="326" customFormat="false" ht="15" hidden="false" customHeight="false" outlineLevel="0" collapsed="false">
      <c r="A326" s="32" t="n">
        <v>45836</v>
      </c>
      <c r="B326" s="33" t="s">
        <v>49</v>
      </c>
      <c r="C326" s="33" t="s">
        <v>111</v>
      </c>
      <c r="D326" s="34" t="n">
        <v>129000</v>
      </c>
      <c r="E326" s="33" t="n">
        <v>9</v>
      </c>
      <c r="F326" s="34" t="n">
        <f aca="false">D326*E326</f>
        <v>1161000</v>
      </c>
      <c r="G326" s="33" t="s">
        <v>54</v>
      </c>
      <c r="H326" s="33" t="str">
        <f aca="false">INDEX(Products!$C$2:$C$51,MATCH(C326,Products!$B$2:$B$51,0))</f>
        <v>Naked Bike</v>
      </c>
    </row>
    <row r="327" customFormat="false" ht="15" hidden="false" customHeight="false" outlineLevel="0" collapsed="false">
      <c r="A327" s="32" t="n">
        <v>45837</v>
      </c>
      <c r="B327" s="33" t="s">
        <v>53</v>
      </c>
      <c r="C327" s="33" t="s">
        <v>59</v>
      </c>
      <c r="D327" s="34" t="n">
        <v>165000</v>
      </c>
      <c r="E327" s="33" t="n">
        <v>37</v>
      </c>
      <c r="F327" s="34" t="n">
        <f aca="false">D327*E327</f>
        <v>6105000</v>
      </c>
      <c r="G327" s="33" t="s">
        <v>50</v>
      </c>
      <c r="H327" s="33" t="str">
        <f aca="false">INDEX(Products!$C$2:$C$51,MATCH(C327,Products!$B$2:$B$51,0))</f>
        <v>Sport</v>
      </c>
    </row>
    <row r="328" customFormat="false" ht="15" hidden="false" customHeight="false" outlineLevel="0" collapsed="false">
      <c r="A328" s="32" t="n">
        <v>45837</v>
      </c>
      <c r="B328" s="33" t="s">
        <v>49</v>
      </c>
      <c r="C328" s="33" t="s">
        <v>70</v>
      </c>
      <c r="D328" s="34" t="n">
        <v>320000</v>
      </c>
      <c r="E328" s="33" t="n">
        <v>19</v>
      </c>
      <c r="F328" s="34" t="n">
        <f aca="false">D328*E328</f>
        <v>6080000</v>
      </c>
      <c r="G328" s="33" t="s">
        <v>57</v>
      </c>
      <c r="H328" s="33" t="str">
        <f aca="false">INDEX(Products!$C$2:$C$51,MATCH(C328,Products!$B$2:$B$51,0))</f>
        <v>Adventure</v>
      </c>
    </row>
    <row r="329" customFormat="false" ht="15" hidden="false" customHeight="false" outlineLevel="0" collapsed="false">
      <c r="A329" s="32" t="n">
        <v>45837</v>
      </c>
      <c r="B329" s="33" t="s">
        <v>53</v>
      </c>
      <c r="C329" s="33" t="s">
        <v>120</v>
      </c>
      <c r="D329" s="34" t="n">
        <v>124000</v>
      </c>
      <c r="E329" s="33" t="n">
        <v>33</v>
      </c>
      <c r="F329" s="34" t="n">
        <f aca="false">D329*E329</f>
        <v>4092000</v>
      </c>
      <c r="G329" s="33" t="s">
        <v>50</v>
      </c>
      <c r="H329" s="33" t="str">
        <f aca="false">INDEX(Products!$C$2:$C$51,MATCH(C329,Products!$B$2:$B$51,0))</f>
        <v>Scooter</v>
      </c>
    </row>
    <row r="330" customFormat="false" ht="15" hidden="false" customHeight="false" outlineLevel="0" collapsed="false">
      <c r="A330" s="32" t="n">
        <v>45837</v>
      </c>
      <c r="B330" s="33" t="s">
        <v>49</v>
      </c>
      <c r="C330" s="33" t="s">
        <v>129</v>
      </c>
      <c r="D330" s="34" t="n">
        <v>125900</v>
      </c>
      <c r="E330" s="33" t="n">
        <v>7</v>
      </c>
      <c r="F330" s="34" t="n">
        <f aca="false">D330*E330</f>
        <v>881300</v>
      </c>
      <c r="G330" s="33" t="s">
        <v>50</v>
      </c>
      <c r="H330" s="33" t="str">
        <f aca="false">INDEX(Products!$C$2:$C$51,MATCH(C330,Products!$B$2:$B$51,0))</f>
        <v>Underbone</v>
      </c>
    </row>
    <row r="331" customFormat="false" ht="15" hidden="false" customHeight="false" outlineLevel="0" collapsed="false">
      <c r="A331" s="32" t="n">
        <v>45837</v>
      </c>
      <c r="B331" s="33" t="s">
        <v>53</v>
      </c>
      <c r="C331" s="33" t="s">
        <v>101</v>
      </c>
      <c r="D331" s="34" t="n">
        <v>328000</v>
      </c>
      <c r="E331" s="33" t="n">
        <v>12</v>
      </c>
      <c r="F331" s="34" t="n">
        <f aca="false">D331*E331</f>
        <v>3936000</v>
      </c>
      <c r="G331" s="33" t="s">
        <v>57</v>
      </c>
      <c r="H331" s="33" t="str">
        <f aca="false">INDEX(Products!$C$2:$C$51,MATCH(C331,Products!$B$2:$B$51,0))</f>
        <v>Cafe Racer</v>
      </c>
    </row>
    <row r="332" customFormat="false" ht="15" hidden="false" customHeight="false" outlineLevel="0" collapsed="false">
      <c r="A332" s="32" t="n">
        <v>45837</v>
      </c>
      <c r="B332" s="33" t="s">
        <v>53</v>
      </c>
      <c r="C332" s="33" t="s">
        <v>110</v>
      </c>
      <c r="D332" s="34" t="n">
        <v>178000</v>
      </c>
      <c r="E332" s="33" t="n">
        <v>7</v>
      </c>
      <c r="F332" s="34" t="n">
        <f aca="false">D332*E332</f>
        <v>1246000</v>
      </c>
      <c r="G332" s="33" t="s">
        <v>54</v>
      </c>
      <c r="H332" s="33" t="str">
        <f aca="false">INDEX(Products!$C$2:$C$51,MATCH(C332,Products!$B$2:$B$51,0))</f>
        <v>Naked Bike</v>
      </c>
    </row>
    <row r="333" customFormat="false" ht="15" hidden="false" customHeight="false" outlineLevel="0" collapsed="false">
      <c r="A333" s="32" t="n">
        <v>45837</v>
      </c>
      <c r="B333" s="33" t="s">
        <v>49</v>
      </c>
      <c r="C333" s="33" t="s">
        <v>70</v>
      </c>
      <c r="D333" s="34" t="n">
        <v>320000</v>
      </c>
      <c r="E333" s="33" t="n">
        <v>4</v>
      </c>
      <c r="F333" s="34" t="n">
        <f aca="false">D333*E333</f>
        <v>1280000</v>
      </c>
      <c r="G333" s="33" t="s">
        <v>57</v>
      </c>
      <c r="H333" s="33" t="str">
        <f aca="false">INDEX(Products!$C$2:$C$51,MATCH(C333,Products!$B$2:$B$51,0))</f>
        <v>Adventure</v>
      </c>
    </row>
    <row r="334" customFormat="false" ht="15" hidden="false" customHeight="false" outlineLevel="0" collapsed="false">
      <c r="A334" s="32" t="n">
        <v>45837</v>
      </c>
      <c r="B334" s="33" t="s">
        <v>53</v>
      </c>
      <c r="C334" s="33" t="s">
        <v>55</v>
      </c>
      <c r="D334" s="34" t="n">
        <v>67900</v>
      </c>
      <c r="E334" s="33" t="n">
        <v>11</v>
      </c>
      <c r="F334" s="34" t="n">
        <f aca="false">D334*E334</f>
        <v>746900</v>
      </c>
      <c r="G334" s="33" t="s">
        <v>54</v>
      </c>
      <c r="H334" s="33" t="str">
        <f aca="false">INDEX(Products!$C$2:$C$51,MATCH(C334,Products!$B$2:$B$51,0))</f>
        <v>Commuter</v>
      </c>
    </row>
    <row r="335" customFormat="false" ht="15" hidden="false" customHeight="false" outlineLevel="0" collapsed="false">
      <c r="A335" s="32" t="n">
        <v>45838</v>
      </c>
      <c r="B335" s="33" t="s">
        <v>53</v>
      </c>
      <c r="C335" s="33" t="s">
        <v>128</v>
      </c>
      <c r="D335" s="34" t="n">
        <v>68900</v>
      </c>
      <c r="E335" s="33" t="n">
        <v>26</v>
      </c>
      <c r="F335" s="34" t="n">
        <f aca="false">D335*E335</f>
        <v>1791400</v>
      </c>
      <c r="G335" s="33" t="s">
        <v>54</v>
      </c>
      <c r="H335" s="33" t="str">
        <f aca="false">INDEX(Products!$C$2:$C$51,MATCH(C335,Products!$B$2:$B$51,0))</f>
        <v>Standard</v>
      </c>
    </row>
    <row r="336" customFormat="false" ht="15" hidden="false" customHeight="false" outlineLevel="0" collapsed="false">
      <c r="A336" s="32" t="n">
        <v>45838</v>
      </c>
      <c r="B336" s="33" t="s">
        <v>49</v>
      </c>
      <c r="C336" s="33" t="s">
        <v>131</v>
      </c>
      <c r="D336" s="34" t="n">
        <v>72900</v>
      </c>
      <c r="E336" s="33" t="n">
        <v>9</v>
      </c>
      <c r="F336" s="34" t="n">
        <f aca="false">D336*E336</f>
        <v>656100</v>
      </c>
      <c r="G336" s="33" t="s">
        <v>50</v>
      </c>
      <c r="H336" s="33" t="str">
        <f aca="false">INDEX(Products!$C$2:$C$51,MATCH(C336,Products!$B$2:$B$51,0))</f>
        <v>Underbone</v>
      </c>
    </row>
    <row r="337" customFormat="false" ht="15" hidden="false" customHeight="false" outlineLevel="0" collapsed="false">
      <c r="A337" s="32" t="n">
        <v>45838</v>
      </c>
      <c r="B337" s="33" t="s">
        <v>49</v>
      </c>
      <c r="C337" s="33" t="s">
        <v>63</v>
      </c>
      <c r="D337" s="34" t="n">
        <v>99900</v>
      </c>
      <c r="E337" s="33" t="n">
        <v>5</v>
      </c>
      <c r="F337" s="34" t="n">
        <f aca="false">D337*E337</f>
        <v>499500</v>
      </c>
      <c r="G337" s="33" t="s">
        <v>57</v>
      </c>
      <c r="H337" s="33" t="str">
        <f aca="false">INDEX(Products!$C$2:$C$51,MATCH(C337,Products!$B$2:$B$51,0))</f>
        <v>Street</v>
      </c>
    </row>
    <row r="338" customFormat="false" ht="15" hidden="false" customHeight="false" outlineLevel="0" collapsed="false">
      <c r="A338" s="32" t="n">
        <v>45838</v>
      </c>
      <c r="B338" s="33" t="s">
        <v>53</v>
      </c>
      <c r="C338" s="33" t="s">
        <v>67</v>
      </c>
      <c r="D338" s="34" t="n">
        <v>250000</v>
      </c>
      <c r="E338" s="33" t="n">
        <v>30</v>
      </c>
      <c r="F338" s="34" t="n">
        <f aca="false">D338*E338</f>
        <v>7500000</v>
      </c>
      <c r="G338" s="33" t="s">
        <v>57</v>
      </c>
      <c r="H338" s="33" t="str">
        <f aca="false">INDEX(Products!$C$2:$C$51,MATCH(C338,Products!$B$2:$B$51,0))</f>
        <v>Classic</v>
      </c>
    </row>
    <row r="339" customFormat="false" ht="15" hidden="false" customHeight="false" outlineLevel="0" collapsed="false">
      <c r="A339" s="32" t="n">
        <v>45838</v>
      </c>
      <c r="B339" s="33" t="s">
        <v>49</v>
      </c>
      <c r="C339" s="33" t="s">
        <v>100</v>
      </c>
      <c r="D339" s="34" t="n">
        <v>78900</v>
      </c>
      <c r="E339" s="33" t="n">
        <v>20</v>
      </c>
      <c r="F339" s="34" t="n">
        <f aca="false">D339*E339</f>
        <v>1578000</v>
      </c>
      <c r="G339" s="33" t="s">
        <v>50</v>
      </c>
      <c r="H339" s="33" t="str">
        <f aca="false">INDEX(Products!$C$2:$C$51,MATCH(C339,Products!$B$2:$B$51,0))</f>
        <v>Adventure</v>
      </c>
    </row>
    <row r="340" customFormat="false" ht="15" hidden="false" customHeight="false" outlineLevel="0" collapsed="false">
      <c r="A340" s="32" t="n">
        <v>45838</v>
      </c>
      <c r="B340" s="33" t="s">
        <v>49</v>
      </c>
      <c r="C340" s="33" t="s">
        <v>62</v>
      </c>
      <c r="D340" s="34" t="n">
        <v>650000</v>
      </c>
      <c r="E340" s="33" t="n">
        <v>38</v>
      </c>
      <c r="F340" s="34" t="n">
        <f aca="false">D340*E340</f>
        <v>24700000</v>
      </c>
      <c r="G340" s="33" t="s">
        <v>54</v>
      </c>
      <c r="H340" s="33" t="str">
        <f aca="false">INDEX(Products!$C$2:$C$51,MATCH(C340,Products!$B$2:$B$51,0))</f>
        <v>Cruiser</v>
      </c>
    </row>
    <row r="341" customFormat="false" ht="15" hidden="false" customHeight="false" outlineLevel="0" collapsed="false">
      <c r="A341" s="32" t="n">
        <v>45838</v>
      </c>
      <c r="B341" s="33" t="s">
        <v>53</v>
      </c>
      <c r="C341" s="33" t="s">
        <v>116</v>
      </c>
      <c r="D341" s="34" t="n">
        <v>219000</v>
      </c>
      <c r="E341" s="33" t="n">
        <v>39</v>
      </c>
      <c r="F341" s="34" t="n">
        <f aca="false">D341*E341</f>
        <v>8541000</v>
      </c>
      <c r="G341" s="33" t="s">
        <v>54</v>
      </c>
      <c r="H341" s="33" t="str">
        <f aca="false">INDEX(Products!$C$2:$C$51,MATCH(C341,Products!$B$2:$B$51,0))</f>
        <v>Scooter</v>
      </c>
    </row>
    <row r="342" customFormat="false" ht="15" hidden="false" customHeight="false" outlineLevel="0" collapsed="false">
      <c r="A342" s="32" t="n">
        <v>45838</v>
      </c>
      <c r="B342" s="33" t="s">
        <v>49</v>
      </c>
      <c r="C342" s="33" t="s">
        <v>128</v>
      </c>
      <c r="D342" s="34" t="n">
        <v>68900</v>
      </c>
      <c r="E342" s="33" t="n">
        <v>15</v>
      </c>
      <c r="F342" s="34" t="n">
        <f aca="false">D342*E342</f>
        <v>1033500</v>
      </c>
      <c r="G342" s="33" t="s">
        <v>50</v>
      </c>
      <c r="H342" s="33" t="str">
        <f aca="false">INDEX(Products!$C$2:$C$51,MATCH(C342,Products!$B$2:$B$51,0))</f>
        <v>Standard</v>
      </c>
    </row>
    <row r="343" customFormat="false" ht="15" hidden="false" customHeight="false" outlineLevel="0" collapsed="false">
      <c r="A343" s="32" t="n">
        <v>45838</v>
      </c>
      <c r="B343" s="33" t="s">
        <v>53</v>
      </c>
      <c r="C343" s="33" t="s">
        <v>69</v>
      </c>
      <c r="D343" s="34" t="n">
        <v>164900</v>
      </c>
      <c r="E343" s="33" t="n">
        <v>5</v>
      </c>
      <c r="F343" s="34" t="n">
        <f aca="false">D343*E343</f>
        <v>824500</v>
      </c>
      <c r="G343" s="33" t="s">
        <v>57</v>
      </c>
      <c r="H343" s="33" t="str">
        <f aca="false">INDEX(Products!$C$2:$C$51,MATCH(C343,Products!$B$2:$B$51,0))</f>
        <v>Scooter</v>
      </c>
    </row>
    <row r="344" customFormat="false" ht="15" hidden="false" customHeight="false" outlineLevel="0" collapsed="false">
      <c r="A344" s="32" t="n">
        <v>45838</v>
      </c>
      <c r="B344" s="33" t="s">
        <v>53</v>
      </c>
      <c r="C344" s="33" t="s">
        <v>103</v>
      </c>
      <c r="D344" s="34" t="n">
        <v>48000</v>
      </c>
      <c r="E344" s="33" t="n">
        <v>45</v>
      </c>
      <c r="F344" s="34" t="n">
        <f aca="false">D344*E344</f>
        <v>2160000</v>
      </c>
      <c r="G344" s="33" t="s">
        <v>50</v>
      </c>
      <c r="H344" s="33" t="str">
        <f aca="false">INDEX(Products!$C$2:$C$51,MATCH(C344,Products!$B$2:$B$51,0))</f>
        <v>Commuter</v>
      </c>
    </row>
    <row r="345" customFormat="false" ht="15" hidden="false" customHeight="false" outlineLevel="0" collapsed="false">
      <c r="A345" s="32" t="n">
        <v>45839</v>
      </c>
      <c r="B345" s="33" t="s">
        <v>49</v>
      </c>
      <c r="C345" s="33" t="s">
        <v>112</v>
      </c>
      <c r="D345" s="34" t="n">
        <v>125000</v>
      </c>
      <c r="E345" s="33" t="n">
        <v>6</v>
      </c>
      <c r="F345" s="34" t="n">
        <f aca="false">D345*E345</f>
        <v>750000</v>
      </c>
      <c r="G345" s="33" t="s">
        <v>57</v>
      </c>
      <c r="H345" s="33" t="str">
        <f aca="false">INDEX(Products!$C$2:$C$51,MATCH(C345,Products!$B$2:$B$51,0))</f>
        <v>Naked Bike</v>
      </c>
    </row>
    <row r="346" customFormat="false" ht="15" hidden="false" customHeight="false" outlineLevel="0" collapsed="false">
      <c r="A346" s="32" t="n">
        <v>45839</v>
      </c>
      <c r="B346" s="33" t="s">
        <v>49</v>
      </c>
      <c r="C346" s="33" t="s">
        <v>68</v>
      </c>
      <c r="D346" s="34" t="n">
        <v>389000</v>
      </c>
      <c r="E346" s="33" t="n">
        <v>19</v>
      </c>
      <c r="F346" s="34" t="n">
        <f aca="false">D346*E346</f>
        <v>7391000</v>
      </c>
      <c r="G346" s="33" t="s">
        <v>50</v>
      </c>
      <c r="H346" s="33" t="str">
        <f aca="false">INDEX(Products!$C$2:$C$51,MATCH(C346,Products!$B$2:$B$51,0))</f>
        <v>Sport</v>
      </c>
    </row>
    <row r="347" customFormat="false" ht="15" hidden="false" customHeight="false" outlineLevel="0" collapsed="false">
      <c r="A347" s="32" t="n">
        <v>45839</v>
      </c>
      <c r="B347" s="33" t="s">
        <v>49</v>
      </c>
      <c r="C347" s="33" t="s">
        <v>51</v>
      </c>
      <c r="D347" s="34" t="n">
        <v>689000</v>
      </c>
      <c r="E347" s="33" t="n">
        <v>10</v>
      </c>
      <c r="F347" s="34" t="n">
        <f aca="false">D347*E347</f>
        <v>6890000</v>
      </c>
      <c r="G347" s="33" t="s">
        <v>54</v>
      </c>
      <c r="H347" s="33" t="str">
        <f aca="false">INDEX(Products!$C$2:$C$51,MATCH(C347,Products!$B$2:$B$51,0))</f>
        <v>Heritage</v>
      </c>
    </row>
    <row r="348" customFormat="false" ht="15" hidden="false" customHeight="false" outlineLevel="0" collapsed="false">
      <c r="A348" s="32" t="n">
        <v>45839</v>
      </c>
      <c r="B348" s="33" t="s">
        <v>49</v>
      </c>
      <c r="C348" s="33" t="s">
        <v>100</v>
      </c>
      <c r="D348" s="34" t="n">
        <v>78900</v>
      </c>
      <c r="E348" s="33" t="n">
        <v>19</v>
      </c>
      <c r="F348" s="34" t="n">
        <f aca="false">D348*E348</f>
        <v>1499100</v>
      </c>
      <c r="G348" s="33" t="s">
        <v>54</v>
      </c>
      <c r="H348" s="33" t="str">
        <f aca="false">INDEX(Products!$C$2:$C$51,MATCH(C348,Products!$B$2:$B$51,0))</f>
        <v>Adventure</v>
      </c>
    </row>
    <row r="349" customFormat="false" ht="15" hidden="false" customHeight="false" outlineLevel="0" collapsed="false">
      <c r="A349" s="32" t="n">
        <v>45840</v>
      </c>
      <c r="B349" s="33" t="s">
        <v>49</v>
      </c>
      <c r="C349" s="33" t="s">
        <v>127</v>
      </c>
      <c r="D349" s="34" t="n">
        <v>199900</v>
      </c>
      <c r="E349" s="33" t="n">
        <v>6</v>
      </c>
      <c r="F349" s="34" t="n">
        <f aca="false">D349*E349</f>
        <v>1199400</v>
      </c>
      <c r="G349" s="33" t="s">
        <v>50</v>
      </c>
      <c r="H349" s="33" t="str">
        <f aca="false">INDEX(Products!$C$2:$C$51,MATCH(C349,Products!$B$2:$B$51,0))</f>
        <v>Sport Touring</v>
      </c>
    </row>
    <row r="350" customFormat="false" ht="15" hidden="false" customHeight="false" outlineLevel="0" collapsed="false">
      <c r="A350" s="32" t="n">
        <v>45840</v>
      </c>
      <c r="B350" s="33" t="s">
        <v>49</v>
      </c>
      <c r="C350" s="33" t="s">
        <v>125</v>
      </c>
      <c r="D350" s="34" t="n">
        <v>340000</v>
      </c>
      <c r="E350" s="33" t="n">
        <v>25</v>
      </c>
      <c r="F350" s="34" t="n">
        <f aca="false">D350*E350</f>
        <v>8500000</v>
      </c>
      <c r="G350" s="33" t="s">
        <v>50</v>
      </c>
      <c r="H350" s="33" t="str">
        <f aca="false">INDEX(Products!$C$2:$C$51,MATCH(C350,Products!$B$2:$B$51,0))</f>
        <v>Sport</v>
      </c>
    </row>
    <row r="351" customFormat="false" ht="15" hidden="false" customHeight="false" outlineLevel="0" collapsed="false">
      <c r="A351" s="32" t="n">
        <v>45840</v>
      </c>
      <c r="B351" s="33" t="s">
        <v>49</v>
      </c>
      <c r="C351" s="33" t="s">
        <v>116</v>
      </c>
      <c r="D351" s="34" t="n">
        <v>219000</v>
      </c>
      <c r="E351" s="33" t="n">
        <v>3</v>
      </c>
      <c r="F351" s="34" t="n">
        <f aca="false">D351*E351</f>
        <v>657000</v>
      </c>
      <c r="G351" s="33" t="s">
        <v>54</v>
      </c>
      <c r="H351" s="33" t="str">
        <f aca="false">INDEX(Products!$C$2:$C$51,MATCH(C351,Products!$B$2:$B$51,0))</f>
        <v>Scooter</v>
      </c>
    </row>
    <row r="352" customFormat="false" ht="15" hidden="false" customHeight="false" outlineLevel="0" collapsed="false">
      <c r="A352" s="32" t="n">
        <v>45840</v>
      </c>
      <c r="B352" s="33" t="s">
        <v>49</v>
      </c>
      <c r="C352" s="33" t="s">
        <v>60</v>
      </c>
      <c r="D352" s="34" t="n">
        <v>599000</v>
      </c>
      <c r="E352" s="33" t="n">
        <v>10</v>
      </c>
      <c r="F352" s="34" t="n">
        <f aca="false">D352*E352</f>
        <v>5990000</v>
      </c>
      <c r="G352" s="33" t="s">
        <v>56</v>
      </c>
      <c r="H352" s="33" t="str">
        <f aca="false">INDEX(Products!$C$2:$C$51,MATCH(C352,Products!$B$2:$B$51,0))</f>
        <v>Naked Bike</v>
      </c>
    </row>
    <row r="353" customFormat="false" ht="15" hidden="false" customHeight="false" outlineLevel="0" collapsed="false">
      <c r="A353" s="32" t="n">
        <v>45840</v>
      </c>
      <c r="B353" s="33" t="s">
        <v>49</v>
      </c>
      <c r="C353" s="33" t="s">
        <v>66</v>
      </c>
      <c r="D353" s="34" t="n">
        <v>398000</v>
      </c>
      <c r="E353" s="33" t="n">
        <v>13</v>
      </c>
      <c r="F353" s="34" t="n">
        <f aca="false">D353*E353</f>
        <v>5174000</v>
      </c>
      <c r="G353" s="33" t="s">
        <v>57</v>
      </c>
      <c r="H353" s="33" t="str">
        <f aca="false">INDEX(Products!$C$2:$C$51,MATCH(C353,Products!$B$2:$B$51,0))</f>
        <v>Scooter</v>
      </c>
    </row>
    <row r="354" customFormat="false" ht="15" hidden="false" customHeight="false" outlineLevel="0" collapsed="false">
      <c r="A354" s="32" t="n">
        <v>45840</v>
      </c>
      <c r="B354" s="33" t="s">
        <v>49</v>
      </c>
      <c r="C354" s="33" t="s">
        <v>61</v>
      </c>
      <c r="D354" s="34" t="n">
        <v>299000</v>
      </c>
      <c r="E354" s="33" t="n">
        <v>13</v>
      </c>
      <c r="F354" s="34" t="n">
        <f aca="false">D354*E354</f>
        <v>3887000</v>
      </c>
      <c r="G354" s="33" t="s">
        <v>54</v>
      </c>
      <c r="H354" s="33" t="str">
        <f aca="false">INDEX(Products!$C$2:$C$51,MATCH(C354,Products!$B$2:$B$51,0))</f>
        <v>Dual-Sport</v>
      </c>
    </row>
    <row r="355" customFormat="false" ht="15" hidden="false" customHeight="false" outlineLevel="0" collapsed="false">
      <c r="A355" s="32" t="n">
        <v>45840</v>
      </c>
      <c r="B355" s="33" t="s">
        <v>53</v>
      </c>
      <c r="C355" s="33" t="s">
        <v>68</v>
      </c>
      <c r="D355" s="34" t="n">
        <v>389000</v>
      </c>
      <c r="E355" s="33" t="n">
        <v>3</v>
      </c>
      <c r="F355" s="34" t="n">
        <f aca="false">D355*E355</f>
        <v>1167000</v>
      </c>
      <c r="G355" s="33" t="s">
        <v>57</v>
      </c>
      <c r="H355" s="33" t="str">
        <f aca="false">INDEX(Products!$C$2:$C$51,MATCH(C355,Products!$B$2:$B$51,0))</f>
        <v>Sport</v>
      </c>
    </row>
    <row r="356" customFormat="false" ht="15" hidden="false" customHeight="false" outlineLevel="0" collapsed="false">
      <c r="A356" s="32" t="n">
        <v>45840</v>
      </c>
      <c r="B356" s="33" t="s">
        <v>53</v>
      </c>
      <c r="C356" s="33" t="s">
        <v>67</v>
      </c>
      <c r="D356" s="34" t="n">
        <v>250000</v>
      </c>
      <c r="E356" s="33" t="n">
        <v>19</v>
      </c>
      <c r="F356" s="34" t="n">
        <f aca="false">D356*E356</f>
        <v>4750000</v>
      </c>
      <c r="G356" s="33" t="s">
        <v>50</v>
      </c>
      <c r="H356" s="33" t="str">
        <f aca="false">INDEX(Products!$C$2:$C$51,MATCH(C356,Products!$B$2:$B$51,0))</f>
        <v>Classic</v>
      </c>
    </row>
    <row r="357" customFormat="false" ht="15" hidden="false" customHeight="false" outlineLevel="0" collapsed="false">
      <c r="A357" s="32" t="n">
        <v>45840</v>
      </c>
      <c r="B357" s="33" t="s">
        <v>53</v>
      </c>
      <c r="C357" s="33" t="s">
        <v>127</v>
      </c>
      <c r="D357" s="34" t="n">
        <v>199900</v>
      </c>
      <c r="E357" s="33" t="n">
        <v>1</v>
      </c>
      <c r="F357" s="34" t="n">
        <f aca="false">D357*E357</f>
        <v>199900</v>
      </c>
      <c r="G357" s="33" t="s">
        <v>54</v>
      </c>
      <c r="H357" s="33" t="str">
        <f aca="false">INDEX(Products!$C$2:$C$51,MATCH(C357,Products!$B$2:$B$51,0))</f>
        <v>Sport Touring</v>
      </c>
    </row>
    <row r="358" customFormat="false" ht="15" hidden="false" customHeight="false" outlineLevel="0" collapsed="false">
      <c r="A358" s="32" t="n">
        <v>45840</v>
      </c>
      <c r="B358" s="33" t="s">
        <v>49</v>
      </c>
      <c r="C358" s="33" t="s">
        <v>61</v>
      </c>
      <c r="D358" s="34" t="n">
        <v>299000</v>
      </c>
      <c r="E358" s="33" t="n">
        <v>32</v>
      </c>
      <c r="F358" s="34" t="n">
        <f aca="false">D358*E358</f>
        <v>9568000</v>
      </c>
      <c r="G358" s="33" t="s">
        <v>50</v>
      </c>
      <c r="H358" s="33" t="str">
        <f aca="false">INDEX(Products!$C$2:$C$51,MATCH(C358,Products!$B$2:$B$51,0))</f>
        <v>Dual-Sport</v>
      </c>
    </row>
    <row r="359" customFormat="false" ht="15" hidden="false" customHeight="false" outlineLevel="0" collapsed="false">
      <c r="A359" s="32" t="n">
        <v>45840</v>
      </c>
      <c r="B359" s="33" t="s">
        <v>49</v>
      </c>
      <c r="C359" s="33" t="s">
        <v>120</v>
      </c>
      <c r="D359" s="34" t="n">
        <v>124000</v>
      </c>
      <c r="E359" s="33" t="n">
        <v>31</v>
      </c>
      <c r="F359" s="34" t="n">
        <f aca="false">D359*E359</f>
        <v>3844000</v>
      </c>
      <c r="G359" s="33" t="s">
        <v>54</v>
      </c>
      <c r="H359" s="33" t="str">
        <f aca="false">INDEX(Products!$C$2:$C$51,MATCH(C359,Products!$B$2:$B$51,0))</f>
        <v>Scooter</v>
      </c>
    </row>
    <row r="360" customFormat="false" ht="15" hidden="false" customHeight="false" outlineLevel="0" collapsed="false">
      <c r="A360" s="32" t="n">
        <v>45840</v>
      </c>
      <c r="B360" s="33" t="s">
        <v>53</v>
      </c>
      <c r="C360" s="33" t="s">
        <v>108</v>
      </c>
      <c r="D360" s="34" t="n">
        <v>331000</v>
      </c>
      <c r="E360" s="33" t="n">
        <v>39</v>
      </c>
      <c r="F360" s="34" t="n">
        <f aca="false">D360*E360</f>
        <v>12909000</v>
      </c>
      <c r="G360" s="33" t="s">
        <v>57</v>
      </c>
      <c r="H360" s="33" t="str">
        <f aca="false">INDEX(Products!$C$2:$C$51,MATCH(C360,Products!$B$2:$B$51,0))</f>
        <v>Naked Bike</v>
      </c>
    </row>
    <row r="361" customFormat="false" ht="15" hidden="false" customHeight="false" outlineLevel="0" collapsed="false">
      <c r="A361" s="32" t="n">
        <v>45841</v>
      </c>
      <c r="B361" s="33" t="s">
        <v>49</v>
      </c>
      <c r="C361" s="33" t="s">
        <v>105</v>
      </c>
      <c r="D361" s="34" t="n">
        <v>349000</v>
      </c>
      <c r="E361" s="33" t="n">
        <v>15</v>
      </c>
      <c r="F361" s="34" t="n">
        <f aca="false">D361*E361</f>
        <v>5235000</v>
      </c>
      <c r="G361" s="33" t="s">
        <v>57</v>
      </c>
      <c r="H361" s="33" t="str">
        <f aca="false">INDEX(Products!$C$2:$C$51,MATCH(C361,Products!$B$2:$B$51,0))</f>
        <v>Cruiser</v>
      </c>
    </row>
    <row r="362" customFormat="false" ht="15" hidden="false" customHeight="false" outlineLevel="0" collapsed="false">
      <c r="A362" s="32" t="n">
        <v>45841</v>
      </c>
      <c r="B362" s="33" t="s">
        <v>49</v>
      </c>
      <c r="C362" s="33" t="s">
        <v>127</v>
      </c>
      <c r="D362" s="34" t="n">
        <v>199900</v>
      </c>
      <c r="E362" s="33" t="n">
        <v>50</v>
      </c>
      <c r="F362" s="34" t="n">
        <f aca="false">D362*E362</f>
        <v>9995000</v>
      </c>
      <c r="G362" s="33" t="s">
        <v>57</v>
      </c>
      <c r="H362" s="33" t="str">
        <f aca="false">INDEX(Products!$C$2:$C$51,MATCH(C362,Products!$B$2:$B$51,0))</f>
        <v>Sport Touring</v>
      </c>
    </row>
    <row r="363" customFormat="false" ht="15" hidden="false" customHeight="false" outlineLevel="0" collapsed="false">
      <c r="A363" s="32" t="n">
        <v>45841</v>
      </c>
      <c r="B363" s="33" t="s">
        <v>49</v>
      </c>
      <c r="C363" s="33" t="s">
        <v>106</v>
      </c>
      <c r="D363" s="34" t="n">
        <v>284900</v>
      </c>
      <c r="E363" s="33" t="n">
        <v>12</v>
      </c>
      <c r="F363" s="34" t="n">
        <f aca="false">D363*E363</f>
        <v>3418800</v>
      </c>
      <c r="G363" s="33" t="s">
        <v>50</v>
      </c>
      <c r="H363" s="33" t="str">
        <f aca="false">INDEX(Products!$C$2:$C$51,MATCH(C363,Products!$B$2:$B$51,0))</f>
        <v>Dual-Sport</v>
      </c>
    </row>
    <row r="364" customFormat="false" ht="15" hidden="false" customHeight="false" outlineLevel="0" collapsed="false">
      <c r="A364" s="32" t="n">
        <v>45841</v>
      </c>
      <c r="B364" s="33" t="s">
        <v>49</v>
      </c>
      <c r="C364" s="33" t="s">
        <v>51</v>
      </c>
      <c r="D364" s="34" t="n">
        <v>689000</v>
      </c>
      <c r="E364" s="33" t="n">
        <v>1</v>
      </c>
      <c r="F364" s="34" t="n">
        <f aca="false">D364*E364</f>
        <v>689000</v>
      </c>
      <c r="G364" s="33" t="s">
        <v>57</v>
      </c>
      <c r="H364" s="33" t="str">
        <f aca="false">INDEX(Products!$C$2:$C$51,MATCH(C364,Products!$B$2:$B$51,0))</f>
        <v>Heritage</v>
      </c>
    </row>
    <row r="365" customFormat="false" ht="15" hidden="false" customHeight="false" outlineLevel="0" collapsed="false">
      <c r="A365" s="32" t="n">
        <v>45841</v>
      </c>
      <c r="B365" s="33" t="s">
        <v>53</v>
      </c>
      <c r="C365" s="33" t="s">
        <v>55</v>
      </c>
      <c r="D365" s="34" t="n">
        <v>67900</v>
      </c>
      <c r="E365" s="33" t="n">
        <v>47</v>
      </c>
      <c r="F365" s="34" t="n">
        <f aca="false">D365*E365</f>
        <v>3191300</v>
      </c>
      <c r="G365" s="33" t="s">
        <v>54</v>
      </c>
      <c r="H365" s="33" t="str">
        <f aca="false">INDEX(Products!$C$2:$C$51,MATCH(C365,Products!$B$2:$B$51,0))</f>
        <v>Commuter</v>
      </c>
    </row>
    <row r="366" customFormat="false" ht="15" hidden="false" customHeight="false" outlineLevel="0" collapsed="false">
      <c r="A366" s="32" t="n">
        <v>45841</v>
      </c>
      <c r="B366" s="33" t="s">
        <v>49</v>
      </c>
      <c r="C366" s="33" t="s">
        <v>63</v>
      </c>
      <c r="D366" s="34" t="n">
        <v>99900</v>
      </c>
      <c r="E366" s="33" t="n">
        <v>19</v>
      </c>
      <c r="F366" s="34" t="n">
        <f aca="false">D366*E366</f>
        <v>1898100</v>
      </c>
      <c r="G366" s="33" t="s">
        <v>50</v>
      </c>
      <c r="H366" s="33" t="str">
        <f aca="false">INDEX(Products!$C$2:$C$51,MATCH(C366,Products!$B$2:$B$51,0))</f>
        <v>Street</v>
      </c>
    </row>
    <row r="367" customFormat="false" ht="15" hidden="false" customHeight="false" outlineLevel="0" collapsed="false">
      <c r="A367" s="32" t="n">
        <v>45841</v>
      </c>
      <c r="B367" s="33" t="s">
        <v>53</v>
      </c>
      <c r="C367" s="33" t="s">
        <v>65</v>
      </c>
      <c r="D367" s="34" t="n">
        <v>345000</v>
      </c>
      <c r="E367" s="33" t="n">
        <v>3</v>
      </c>
      <c r="F367" s="34" t="n">
        <f aca="false">D367*E367</f>
        <v>1035000</v>
      </c>
      <c r="G367" s="33" t="s">
        <v>56</v>
      </c>
      <c r="H367" s="33" t="str">
        <f aca="false">INDEX(Products!$C$2:$C$51,MATCH(C367,Products!$B$2:$B$51,0))</f>
        <v>Touring</v>
      </c>
    </row>
    <row r="368" customFormat="false" ht="15" hidden="false" customHeight="false" outlineLevel="0" collapsed="false">
      <c r="A368" s="32" t="n">
        <v>45841</v>
      </c>
      <c r="B368" s="33" t="s">
        <v>49</v>
      </c>
      <c r="C368" s="33" t="s">
        <v>51</v>
      </c>
      <c r="D368" s="34" t="n">
        <v>689000</v>
      </c>
      <c r="E368" s="33" t="n">
        <v>6</v>
      </c>
      <c r="F368" s="34" t="n">
        <f aca="false">D368*E368</f>
        <v>4134000</v>
      </c>
      <c r="G368" s="33" t="s">
        <v>54</v>
      </c>
      <c r="H368" s="33" t="str">
        <f aca="false">INDEX(Products!$C$2:$C$51,MATCH(C368,Products!$B$2:$B$51,0))</f>
        <v>Heritage</v>
      </c>
    </row>
    <row r="369" customFormat="false" ht="15" hidden="false" customHeight="false" outlineLevel="0" collapsed="false">
      <c r="A369" s="32" t="n">
        <v>45841</v>
      </c>
      <c r="B369" s="33" t="s">
        <v>53</v>
      </c>
      <c r="C369" s="33" t="s">
        <v>61</v>
      </c>
      <c r="D369" s="34" t="n">
        <v>299000</v>
      </c>
      <c r="E369" s="33" t="n">
        <v>17</v>
      </c>
      <c r="F369" s="34" t="n">
        <f aca="false">D369*E369</f>
        <v>5083000</v>
      </c>
      <c r="G369" s="33" t="s">
        <v>50</v>
      </c>
      <c r="H369" s="33" t="str">
        <f aca="false">INDEX(Products!$C$2:$C$51,MATCH(C369,Products!$B$2:$B$51,0))</f>
        <v>Dual-Sport</v>
      </c>
    </row>
    <row r="370" customFormat="false" ht="15" hidden="false" customHeight="false" outlineLevel="0" collapsed="false">
      <c r="A370" s="32" t="n">
        <v>45841</v>
      </c>
      <c r="B370" s="33" t="s">
        <v>53</v>
      </c>
      <c r="C370" s="33" t="s">
        <v>99</v>
      </c>
      <c r="D370" s="34" t="n">
        <v>369000</v>
      </c>
      <c r="E370" s="33" t="n">
        <v>19</v>
      </c>
      <c r="F370" s="34" t="n">
        <f aca="false">D370*E370</f>
        <v>7011000</v>
      </c>
      <c r="G370" s="33" t="s">
        <v>54</v>
      </c>
      <c r="H370" s="33" t="str">
        <f aca="false">INDEX(Products!$C$2:$C$51,MATCH(C370,Products!$B$2:$B$51,0))</f>
        <v>Adventure</v>
      </c>
    </row>
    <row r="371" customFormat="false" ht="15" hidden="false" customHeight="false" outlineLevel="0" collapsed="false">
      <c r="A371" s="32" t="n">
        <v>45841</v>
      </c>
      <c r="B371" s="33" t="s">
        <v>53</v>
      </c>
      <c r="C371" s="33" t="s">
        <v>122</v>
      </c>
      <c r="D371" s="34" t="n">
        <v>80900</v>
      </c>
      <c r="E371" s="33" t="n">
        <v>21</v>
      </c>
      <c r="F371" s="34" t="n">
        <f aca="false">D371*E371</f>
        <v>1698900</v>
      </c>
      <c r="G371" s="33" t="s">
        <v>57</v>
      </c>
      <c r="H371" s="33" t="str">
        <f aca="false">INDEX(Products!$C$2:$C$51,MATCH(C371,Products!$B$2:$B$51,0))</f>
        <v>Scooter</v>
      </c>
    </row>
    <row r="372" customFormat="false" ht="15" hidden="false" customHeight="false" outlineLevel="0" collapsed="false">
      <c r="A372" s="32" t="n">
        <v>45841</v>
      </c>
      <c r="B372" s="33" t="s">
        <v>49</v>
      </c>
      <c r="C372" s="33" t="s">
        <v>122</v>
      </c>
      <c r="D372" s="34" t="n">
        <v>80900</v>
      </c>
      <c r="E372" s="33" t="n">
        <v>15</v>
      </c>
      <c r="F372" s="34" t="n">
        <f aca="false">D372*E372</f>
        <v>1213500</v>
      </c>
      <c r="G372" s="33" t="s">
        <v>57</v>
      </c>
      <c r="H372" s="33" t="str">
        <f aca="false">INDEX(Products!$C$2:$C$51,MATCH(C372,Products!$B$2:$B$51,0))</f>
        <v>Scooter</v>
      </c>
    </row>
    <row r="373" customFormat="false" ht="15" hidden="false" customHeight="false" outlineLevel="0" collapsed="false">
      <c r="A373" s="32" t="n">
        <v>45841</v>
      </c>
      <c r="B373" s="33" t="s">
        <v>49</v>
      </c>
      <c r="C373" s="33" t="s">
        <v>123</v>
      </c>
      <c r="D373" s="34" t="n">
        <v>79900</v>
      </c>
      <c r="E373" s="33" t="n">
        <v>42</v>
      </c>
      <c r="F373" s="34" t="n">
        <f aca="false">D373*E373</f>
        <v>3355800</v>
      </c>
      <c r="G373" s="33" t="s">
        <v>50</v>
      </c>
      <c r="H373" s="33" t="str">
        <f aca="false">INDEX(Products!$C$2:$C$51,MATCH(C373,Products!$B$2:$B$51,0))</f>
        <v>Scooter</v>
      </c>
    </row>
    <row r="374" customFormat="false" ht="15" hidden="false" customHeight="false" outlineLevel="0" collapsed="false">
      <c r="A374" s="32" t="n">
        <v>45841</v>
      </c>
      <c r="B374" s="33" t="s">
        <v>53</v>
      </c>
      <c r="C374" s="33" t="s">
        <v>64</v>
      </c>
      <c r="D374" s="34" t="n">
        <v>248000</v>
      </c>
      <c r="E374" s="33" t="n">
        <v>40</v>
      </c>
      <c r="F374" s="34" t="n">
        <f aca="false">D374*E374</f>
        <v>9920000</v>
      </c>
      <c r="G374" s="33" t="s">
        <v>54</v>
      </c>
      <c r="H374" s="33" t="str">
        <f aca="false">INDEX(Products!$C$2:$C$51,MATCH(C374,Products!$B$2:$B$51,0))</f>
        <v>Adventure</v>
      </c>
    </row>
    <row r="375" customFormat="false" ht="15" hidden="false" customHeight="false" outlineLevel="0" collapsed="false">
      <c r="A375" s="32" t="n">
        <v>45841</v>
      </c>
      <c r="B375" s="33" t="s">
        <v>53</v>
      </c>
      <c r="C375" s="33" t="s">
        <v>71</v>
      </c>
      <c r="D375" s="34" t="n">
        <v>165000</v>
      </c>
      <c r="E375" s="33" t="n">
        <v>20</v>
      </c>
      <c r="F375" s="34" t="n">
        <f aca="false">D375*E375</f>
        <v>3300000</v>
      </c>
      <c r="G375" s="33" t="s">
        <v>50</v>
      </c>
      <c r="H375" s="33" t="str">
        <f aca="false">INDEX(Products!$C$2:$C$51,MATCH(C375,Products!$B$2:$B$51,0))</f>
        <v>Naked Bike</v>
      </c>
    </row>
    <row r="376" customFormat="false" ht="15" hidden="false" customHeight="false" outlineLevel="0" collapsed="false">
      <c r="A376" s="32" t="n">
        <v>45841</v>
      </c>
      <c r="B376" s="33" t="s">
        <v>49</v>
      </c>
      <c r="C376" s="33" t="s">
        <v>114</v>
      </c>
      <c r="D376" s="34" t="n">
        <v>319000</v>
      </c>
      <c r="E376" s="33" t="n">
        <v>19</v>
      </c>
      <c r="F376" s="34" t="n">
        <f aca="false">D376*E376</f>
        <v>6061000</v>
      </c>
      <c r="G376" s="33" t="s">
        <v>57</v>
      </c>
      <c r="H376" s="33" t="str">
        <f aca="false">INDEX(Products!$C$2:$C$51,MATCH(C376,Products!$B$2:$B$51,0))</f>
        <v>Scooter</v>
      </c>
    </row>
    <row r="377" customFormat="false" ht="15" hidden="false" customHeight="false" outlineLevel="0" collapsed="false">
      <c r="A377" s="32" t="n">
        <v>45841</v>
      </c>
      <c r="B377" s="33" t="s">
        <v>53</v>
      </c>
      <c r="C377" s="33" t="s">
        <v>109</v>
      </c>
      <c r="D377" s="34" t="n">
        <v>178000</v>
      </c>
      <c r="E377" s="33" t="n">
        <v>1</v>
      </c>
      <c r="F377" s="34" t="n">
        <f aca="false">D377*E377</f>
        <v>178000</v>
      </c>
      <c r="G377" s="33" t="s">
        <v>50</v>
      </c>
      <c r="H377" s="33" t="str">
        <f aca="false">INDEX(Products!$C$2:$C$51,MATCH(C377,Products!$B$2:$B$51,0))</f>
        <v>Naked Bike</v>
      </c>
    </row>
    <row r="378" customFormat="false" ht="15" hidden="false" customHeight="false" outlineLevel="0" collapsed="false">
      <c r="A378" s="32" t="n">
        <v>45841</v>
      </c>
      <c r="B378" s="33" t="s">
        <v>49</v>
      </c>
      <c r="C378" s="33" t="s">
        <v>64</v>
      </c>
      <c r="D378" s="34" t="n">
        <v>248000</v>
      </c>
      <c r="E378" s="33" t="n">
        <v>6</v>
      </c>
      <c r="F378" s="34" t="n">
        <f aca="false">D378*E378</f>
        <v>1488000</v>
      </c>
      <c r="G378" s="33" t="s">
        <v>54</v>
      </c>
      <c r="H378" s="33" t="str">
        <f aca="false">INDEX(Products!$C$2:$C$51,MATCH(C378,Products!$B$2:$B$51,0))</f>
        <v>Adventure</v>
      </c>
    </row>
    <row r="379" customFormat="false" ht="15" hidden="false" customHeight="false" outlineLevel="0" collapsed="false">
      <c r="A379" s="32" t="n">
        <v>45841</v>
      </c>
      <c r="B379" s="33" t="s">
        <v>49</v>
      </c>
      <c r="C379" s="33" t="s">
        <v>128</v>
      </c>
      <c r="D379" s="34" t="n">
        <v>68900</v>
      </c>
      <c r="E379" s="33" t="n">
        <v>16</v>
      </c>
      <c r="F379" s="34" t="n">
        <f aca="false">D379*E379</f>
        <v>1102400</v>
      </c>
      <c r="G379" s="33" t="s">
        <v>50</v>
      </c>
      <c r="H379" s="33" t="str">
        <f aca="false">INDEX(Products!$C$2:$C$51,MATCH(C379,Products!$B$2:$B$51,0))</f>
        <v>Standard</v>
      </c>
    </row>
    <row r="380" customFormat="false" ht="15" hidden="false" customHeight="false" outlineLevel="0" collapsed="false">
      <c r="A380" s="32" t="n">
        <v>45841</v>
      </c>
      <c r="B380" s="33" t="s">
        <v>49</v>
      </c>
      <c r="C380" s="33" t="s">
        <v>107</v>
      </c>
      <c r="D380" s="34" t="n">
        <v>199000</v>
      </c>
      <c r="E380" s="33" t="n">
        <v>13</v>
      </c>
      <c r="F380" s="34" t="n">
        <f aca="false">D380*E380</f>
        <v>2587000</v>
      </c>
      <c r="G380" s="33" t="s">
        <v>54</v>
      </c>
      <c r="H380" s="33" t="str">
        <f aca="false">INDEX(Products!$C$2:$C$51,MATCH(C380,Products!$B$2:$B$51,0))</f>
        <v>Dual-Sport</v>
      </c>
    </row>
    <row r="381" customFormat="false" ht="15" hidden="false" customHeight="false" outlineLevel="0" collapsed="false">
      <c r="A381" s="32" t="n">
        <v>45842</v>
      </c>
      <c r="B381" s="33" t="s">
        <v>49</v>
      </c>
      <c r="C381" s="33" t="s">
        <v>123</v>
      </c>
      <c r="D381" s="34" t="n">
        <v>79900</v>
      </c>
      <c r="E381" s="33" t="n">
        <v>9</v>
      </c>
      <c r="F381" s="34" t="n">
        <f aca="false">D381*E381</f>
        <v>719100</v>
      </c>
      <c r="G381" s="33" t="s">
        <v>57</v>
      </c>
      <c r="H381" s="33" t="str">
        <f aca="false">INDEX(Products!$C$2:$C$51,MATCH(C381,Products!$B$2:$B$51,0))</f>
        <v>Scooter</v>
      </c>
    </row>
    <row r="382" customFormat="false" ht="15" hidden="false" customHeight="false" outlineLevel="0" collapsed="false">
      <c r="A382" s="32" t="n">
        <v>45842</v>
      </c>
      <c r="B382" s="33" t="s">
        <v>53</v>
      </c>
      <c r="C382" s="33" t="s">
        <v>130</v>
      </c>
      <c r="D382" s="34" t="n">
        <v>119900</v>
      </c>
      <c r="E382" s="33" t="n">
        <v>5</v>
      </c>
      <c r="F382" s="34" t="n">
        <f aca="false">D382*E382</f>
        <v>599500</v>
      </c>
      <c r="G382" s="33" t="s">
        <v>50</v>
      </c>
      <c r="H382" s="33" t="str">
        <f aca="false">INDEX(Products!$C$2:$C$51,MATCH(C382,Products!$B$2:$B$51,0))</f>
        <v>Underbone</v>
      </c>
    </row>
    <row r="383" customFormat="false" ht="15" hidden="false" customHeight="false" outlineLevel="0" collapsed="false">
      <c r="A383" s="32" t="n">
        <v>45842</v>
      </c>
      <c r="B383" s="33" t="s">
        <v>53</v>
      </c>
      <c r="C383" s="33" t="s">
        <v>122</v>
      </c>
      <c r="D383" s="34" t="n">
        <v>80900</v>
      </c>
      <c r="E383" s="33" t="n">
        <v>18</v>
      </c>
      <c r="F383" s="34" t="n">
        <f aca="false">D383*E383</f>
        <v>1456200</v>
      </c>
      <c r="G383" s="33" t="s">
        <v>54</v>
      </c>
      <c r="H383" s="33" t="str">
        <f aca="false">INDEX(Products!$C$2:$C$51,MATCH(C383,Products!$B$2:$B$51,0))</f>
        <v>Scooter</v>
      </c>
    </row>
    <row r="384" customFormat="false" ht="15" hidden="false" customHeight="false" outlineLevel="0" collapsed="false">
      <c r="A384" s="32" t="n">
        <v>45842</v>
      </c>
      <c r="B384" s="33" t="s">
        <v>49</v>
      </c>
      <c r="C384" s="33" t="s">
        <v>61</v>
      </c>
      <c r="D384" s="34" t="n">
        <v>299000</v>
      </c>
      <c r="E384" s="33" t="n">
        <v>3</v>
      </c>
      <c r="F384" s="34" t="n">
        <f aca="false">D384*E384</f>
        <v>897000</v>
      </c>
      <c r="G384" s="33" t="s">
        <v>54</v>
      </c>
      <c r="H384" s="33" t="str">
        <f aca="false">INDEX(Products!$C$2:$C$51,MATCH(C384,Products!$B$2:$B$51,0))</f>
        <v>Dual-Sport</v>
      </c>
    </row>
    <row r="385" customFormat="false" ht="15" hidden="false" customHeight="false" outlineLevel="0" collapsed="false">
      <c r="A385" s="32" t="n">
        <v>45842</v>
      </c>
      <c r="B385" s="33" t="s">
        <v>53</v>
      </c>
      <c r="C385" s="33" t="s">
        <v>118</v>
      </c>
      <c r="D385" s="34" t="n">
        <v>151900</v>
      </c>
      <c r="E385" s="33" t="n">
        <v>29</v>
      </c>
      <c r="F385" s="34" t="n">
        <f aca="false">D385*E385</f>
        <v>4405100</v>
      </c>
      <c r="G385" s="33" t="s">
        <v>50</v>
      </c>
      <c r="H385" s="33" t="str">
        <f aca="false">INDEX(Products!$C$2:$C$51,MATCH(C385,Products!$B$2:$B$51,0))</f>
        <v>Scooter</v>
      </c>
    </row>
    <row r="386" customFormat="false" ht="15" hidden="false" customHeight="false" outlineLevel="0" collapsed="false">
      <c r="A386" s="32" t="n">
        <v>45842</v>
      </c>
      <c r="B386" s="33" t="s">
        <v>49</v>
      </c>
      <c r="C386" s="33" t="s">
        <v>118</v>
      </c>
      <c r="D386" s="34" t="n">
        <v>151900</v>
      </c>
      <c r="E386" s="33" t="n">
        <v>32</v>
      </c>
      <c r="F386" s="34" t="n">
        <f aca="false">D386*E386</f>
        <v>4860800</v>
      </c>
      <c r="G386" s="33" t="s">
        <v>50</v>
      </c>
      <c r="H386" s="33" t="str">
        <f aca="false">INDEX(Products!$C$2:$C$51,MATCH(C386,Products!$B$2:$B$51,0))</f>
        <v>Scooter</v>
      </c>
    </row>
    <row r="387" customFormat="false" ht="15" hidden="false" customHeight="false" outlineLevel="0" collapsed="false">
      <c r="A387" s="32" t="n">
        <v>45842</v>
      </c>
      <c r="B387" s="33" t="s">
        <v>49</v>
      </c>
      <c r="C387" s="33" t="s">
        <v>101</v>
      </c>
      <c r="D387" s="34" t="n">
        <v>328000</v>
      </c>
      <c r="E387" s="33" t="n">
        <v>1</v>
      </c>
      <c r="F387" s="34" t="n">
        <f aca="false">D387*E387</f>
        <v>328000</v>
      </c>
      <c r="G387" s="33" t="s">
        <v>50</v>
      </c>
      <c r="H387" s="33" t="str">
        <f aca="false">INDEX(Products!$C$2:$C$51,MATCH(C387,Products!$B$2:$B$51,0))</f>
        <v>Cafe Racer</v>
      </c>
    </row>
    <row r="388" customFormat="false" ht="15" hidden="false" customHeight="false" outlineLevel="0" collapsed="false">
      <c r="A388" s="32" t="n">
        <v>45842</v>
      </c>
      <c r="B388" s="33" t="s">
        <v>49</v>
      </c>
      <c r="C388" s="33" t="s">
        <v>130</v>
      </c>
      <c r="D388" s="34" t="n">
        <v>119900</v>
      </c>
      <c r="E388" s="33" t="n">
        <v>11</v>
      </c>
      <c r="F388" s="34" t="n">
        <f aca="false">D388*E388</f>
        <v>1318900</v>
      </c>
      <c r="G388" s="33" t="s">
        <v>57</v>
      </c>
      <c r="H388" s="33" t="str">
        <f aca="false">INDEX(Products!$C$2:$C$51,MATCH(C388,Products!$B$2:$B$51,0))</f>
        <v>Underbone</v>
      </c>
    </row>
    <row r="389" customFormat="false" ht="15" hidden="false" customHeight="false" outlineLevel="0" collapsed="false">
      <c r="A389" s="32" t="n">
        <v>45842</v>
      </c>
      <c r="B389" s="33" t="s">
        <v>49</v>
      </c>
      <c r="C389" s="33" t="s">
        <v>59</v>
      </c>
      <c r="D389" s="34" t="n">
        <v>165000</v>
      </c>
      <c r="E389" s="33" t="n">
        <v>12</v>
      </c>
      <c r="F389" s="34" t="n">
        <f aca="false">D389*E389</f>
        <v>1980000</v>
      </c>
      <c r="G389" s="33" t="s">
        <v>50</v>
      </c>
      <c r="H389" s="33" t="str">
        <f aca="false">INDEX(Products!$C$2:$C$51,MATCH(C389,Products!$B$2:$B$51,0))</f>
        <v>Sport</v>
      </c>
    </row>
    <row r="390" customFormat="false" ht="15" hidden="false" customHeight="false" outlineLevel="0" collapsed="false">
      <c r="A390" s="32" t="n">
        <v>45842</v>
      </c>
      <c r="B390" s="33" t="s">
        <v>49</v>
      </c>
      <c r="C390" s="33" t="s">
        <v>123</v>
      </c>
      <c r="D390" s="34" t="n">
        <v>79900</v>
      </c>
      <c r="E390" s="33" t="n">
        <v>15</v>
      </c>
      <c r="F390" s="34" t="n">
        <f aca="false">D390*E390</f>
        <v>1198500</v>
      </c>
      <c r="G390" s="33" t="s">
        <v>57</v>
      </c>
      <c r="H390" s="33" t="str">
        <f aca="false">INDEX(Products!$C$2:$C$51,MATCH(C390,Products!$B$2:$B$51,0))</f>
        <v>Scooter</v>
      </c>
    </row>
    <row r="391" customFormat="false" ht="15" hidden="false" customHeight="false" outlineLevel="0" collapsed="false">
      <c r="A391" s="32" t="n">
        <v>45843</v>
      </c>
      <c r="B391" s="33" t="s">
        <v>53</v>
      </c>
      <c r="C391" s="33" t="s">
        <v>119</v>
      </c>
      <c r="D391" s="34" t="n">
        <v>128000</v>
      </c>
      <c r="E391" s="33" t="n">
        <v>12</v>
      </c>
      <c r="F391" s="34" t="n">
        <f aca="false">D391*E391</f>
        <v>1536000</v>
      </c>
      <c r="G391" s="33" t="s">
        <v>50</v>
      </c>
      <c r="H391" s="33" t="str">
        <f aca="false">INDEX(Products!$C$2:$C$51,MATCH(C391,Products!$B$2:$B$51,0))</f>
        <v>Scooter</v>
      </c>
    </row>
    <row r="392" customFormat="false" ht="15" hidden="false" customHeight="false" outlineLevel="0" collapsed="false">
      <c r="A392" s="32" t="n">
        <v>45843</v>
      </c>
      <c r="B392" s="33" t="s">
        <v>49</v>
      </c>
      <c r="C392" s="33" t="s">
        <v>128</v>
      </c>
      <c r="D392" s="34" t="n">
        <v>68900</v>
      </c>
      <c r="E392" s="33" t="n">
        <v>21</v>
      </c>
      <c r="F392" s="34" t="n">
        <f aca="false">D392*E392</f>
        <v>1446900</v>
      </c>
      <c r="G392" s="33" t="s">
        <v>57</v>
      </c>
      <c r="H392" s="33" t="str">
        <f aca="false">INDEX(Products!$C$2:$C$51,MATCH(C392,Products!$B$2:$B$51,0))</f>
        <v>Standard</v>
      </c>
    </row>
    <row r="393" customFormat="false" ht="15" hidden="false" customHeight="false" outlineLevel="0" collapsed="false">
      <c r="A393" s="32" t="n">
        <v>45843</v>
      </c>
      <c r="B393" s="33" t="s">
        <v>53</v>
      </c>
      <c r="C393" s="33" t="s">
        <v>65</v>
      </c>
      <c r="D393" s="34" t="n">
        <v>345000</v>
      </c>
      <c r="E393" s="33" t="n">
        <v>9</v>
      </c>
      <c r="F393" s="34" t="n">
        <f aca="false">D393*E393</f>
        <v>3105000</v>
      </c>
      <c r="G393" s="33" t="s">
        <v>57</v>
      </c>
      <c r="H393" s="33" t="str">
        <f aca="false">INDEX(Products!$C$2:$C$51,MATCH(C393,Products!$B$2:$B$51,0))</f>
        <v>Touring</v>
      </c>
    </row>
    <row r="394" customFormat="false" ht="15" hidden="false" customHeight="false" outlineLevel="0" collapsed="false">
      <c r="A394" s="32" t="n">
        <v>45843</v>
      </c>
      <c r="B394" s="33" t="s">
        <v>53</v>
      </c>
      <c r="C394" s="33" t="s">
        <v>58</v>
      </c>
      <c r="D394" s="34" t="n">
        <v>995000</v>
      </c>
      <c r="E394" s="33" t="n">
        <v>25</v>
      </c>
      <c r="F394" s="34" t="n">
        <f aca="false">D394*E394</f>
        <v>24875000</v>
      </c>
      <c r="G394" s="33" t="s">
        <v>54</v>
      </c>
      <c r="H394" s="33" t="str">
        <f aca="false">INDEX(Products!$C$2:$C$51,MATCH(C394,Products!$B$2:$B$51,0))</f>
        <v>Heritage</v>
      </c>
    </row>
    <row r="395" customFormat="false" ht="15" hidden="false" customHeight="false" outlineLevel="0" collapsed="false">
      <c r="A395" s="32" t="n">
        <v>45843</v>
      </c>
      <c r="B395" s="33" t="s">
        <v>53</v>
      </c>
      <c r="C395" s="33" t="s">
        <v>112</v>
      </c>
      <c r="D395" s="34" t="n">
        <v>125000</v>
      </c>
      <c r="E395" s="33" t="n">
        <v>42</v>
      </c>
      <c r="F395" s="34" t="n">
        <f aca="false">D395*E395</f>
        <v>5250000</v>
      </c>
      <c r="G395" s="33" t="s">
        <v>50</v>
      </c>
      <c r="H395" s="33" t="str">
        <f aca="false">INDEX(Products!$C$2:$C$51,MATCH(C395,Products!$B$2:$B$51,0))</f>
        <v>Naked Bike</v>
      </c>
    </row>
    <row r="396" customFormat="false" ht="15" hidden="false" customHeight="false" outlineLevel="0" collapsed="false">
      <c r="A396" s="32" t="n">
        <v>45843</v>
      </c>
      <c r="B396" s="33" t="s">
        <v>49</v>
      </c>
      <c r="C396" s="33" t="s">
        <v>107</v>
      </c>
      <c r="D396" s="34" t="n">
        <v>199000</v>
      </c>
      <c r="E396" s="33" t="n">
        <v>7</v>
      </c>
      <c r="F396" s="34" t="n">
        <f aca="false">D396*E396</f>
        <v>1393000</v>
      </c>
      <c r="G396" s="33" t="s">
        <v>54</v>
      </c>
      <c r="H396" s="33" t="str">
        <f aca="false">INDEX(Products!$C$2:$C$51,MATCH(C396,Products!$B$2:$B$51,0))</f>
        <v>Dual-Sport</v>
      </c>
    </row>
    <row r="397" customFormat="false" ht="15" hidden="false" customHeight="false" outlineLevel="0" collapsed="false">
      <c r="A397" s="32" t="n">
        <v>45843</v>
      </c>
      <c r="B397" s="33" t="s">
        <v>53</v>
      </c>
      <c r="C397" s="33" t="s">
        <v>129</v>
      </c>
      <c r="D397" s="34" t="n">
        <v>125900</v>
      </c>
      <c r="E397" s="33" t="n">
        <v>18</v>
      </c>
      <c r="F397" s="34" t="n">
        <f aca="false">D397*E397</f>
        <v>2266200</v>
      </c>
      <c r="G397" s="33" t="s">
        <v>50</v>
      </c>
      <c r="H397" s="33" t="str">
        <f aca="false">INDEX(Products!$C$2:$C$51,MATCH(C397,Products!$B$2:$B$51,0))</f>
        <v>Underbone</v>
      </c>
    </row>
    <row r="398" customFormat="false" ht="15" hidden="false" customHeight="false" outlineLevel="0" collapsed="false">
      <c r="A398" s="32" t="n">
        <v>45843</v>
      </c>
      <c r="B398" s="33" t="s">
        <v>53</v>
      </c>
      <c r="C398" s="33" t="s">
        <v>100</v>
      </c>
      <c r="D398" s="34" t="n">
        <v>78900</v>
      </c>
      <c r="E398" s="33" t="n">
        <v>10</v>
      </c>
      <c r="F398" s="34" t="n">
        <f aca="false">D398*E398</f>
        <v>789000</v>
      </c>
      <c r="G398" s="33" t="s">
        <v>50</v>
      </c>
      <c r="H398" s="33" t="str">
        <f aca="false">INDEX(Products!$C$2:$C$51,MATCH(C398,Products!$B$2:$B$51,0))</f>
        <v>Adventure</v>
      </c>
    </row>
    <row r="399" customFormat="false" ht="15" hidden="false" customHeight="false" outlineLevel="0" collapsed="false">
      <c r="A399" s="32" t="n">
        <v>45843</v>
      </c>
      <c r="B399" s="33" t="s">
        <v>49</v>
      </c>
      <c r="C399" s="33" t="s">
        <v>130</v>
      </c>
      <c r="D399" s="34" t="n">
        <v>119900</v>
      </c>
      <c r="E399" s="33" t="n">
        <v>7</v>
      </c>
      <c r="F399" s="34" t="n">
        <f aca="false">D399*E399</f>
        <v>839300</v>
      </c>
      <c r="G399" s="33" t="s">
        <v>57</v>
      </c>
      <c r="H399" s="33" t="str">
        <f aca="false">INDEX(Products!$C$2:$C$51,MATCH(C399,Products!$B$2:$B$51,0))</f>
        <v>Underbone</v>
      </c>
    </row>
    <row r="400" customFormat="false" ht="15" hidden="false" customHeight="false" outlineLevel="0" collapsed="false">
      <c r="A400" s="32" t="n">
        <v>45843</v>
      </c>
      <c r="B400" s="33" t="s">
        <v>53</v>
      </c>
      <c r="C400" s="33" t="s">
        <v>65</v>
      </c>
      <c r="D400" s="34" t="n">
        <v>345000</v>
      </c>
      <c r="E400" s="33" t="n">
        <v>24</v>
      </c>
      <c r="F400" s="34" t="n">
        <f aca="false">D400*E400</f>
        <v>8280000</v>
      </c>
      <c r="G400" s="33" t="s">
        <v>54</v>
      </c>
      <c r="H400" s="33" t="str">
        <f aca="false">INDEX(Products!$C$2:$C$51,MATCH(C400,Products!$B$2:$B$51,0))</f>
        <v>Touring</v>
      </c>
    </row>
    <row r="401" customFormat="false" ht="15" hidden="false" customHeight="false" outlineLevel="0" collapsed="false">
      <c r="A401" s="32" t="n">
        <v>45844</v>
      </c>
      <c r="B401" s="33" t="s">
        <v>49</v>
      </c>
      <c r="C401" s="33" t="s">
        <v>114</v>
      </c>
      <c r="D401" s="34" t="n">
        <v>319000</v>
      </c>
      <c r="E401" s="33" t="n">
        <v>18</v>
      </c>
      <c r="F401" s="34" t="n">
        <f aca="false">D401*E401</f>
        <v>5742000</v>
      </c>
      <c r="G401" s="33" t="s">
        <v>57</v>
      </c>
      <c r="H401" s="33" t="str">
        <f aca="false">INDEX(Products!$C$2:$C$51,MATCH(C401,Products!$B$2:$B$51,0))</f>
        <v>Scooter</v>
      </c>
    </row>
    <row r="402" customFormat="false" ht="15" hidden="false" customHeight="false" outlineLevel="0" collapsed="false">
      <c r="A402" s="32" t="n">
        <v>45844</v>
      </c>
      <c r="B402" s="33" t="s">
        <v>53</v>
      </c>
      <c r="C402" s="33" t="s">
        <v>117</v>
      </c>
      <c r="D402" s="34" t="n">
        <v>210000</v>
      </c>
      <c r="E402" s="33" t="n">
        <v>7</v>
      </c>
      <c r="F402" s="34" t="n">
        <f aca="false">D402*E402</f>
        <v>1470000</v>
      </c>
      <c r="G402" s="33" t="s">
        <v>54</v>
      </c>
      <c r="H402" s="33" t="str">
        <f aca="false">INDEX(Products!$C$2:$C$51,MATCH(C402,Products!$B$2:$B$51,0))</f>
        <v>Scooter</v>
      </c>
    </row>
    <row r="403" customFormat="false" ht="15" hidden="false" customHeight="false" outlineLevel="0" collapsed="false">
      <c r="A403" s="32" t="n">
        <v>45844</v>
      </c>
      <c r="B403" s="33" t="s">
        <v>49</v>
      </c>
      <c r="C403" s="33" t="s">
        <v>64</v>
      </c>
      <c r="D403" s="34" t="n">
        <v>248000</v>
      </c>
      <c r="E403" s="33" t="n">
        <v>12</v>
      </c>
      <c r="F403" s="34" t="n">
        <f aca="false">D403*E403</f>
        <v>2976000</v>
      </c>
      <c r="G403" s="33" t="s">
        <v>57</v>
      </c>
      <c r="H403" s="33" t="str">
        <f aca="false">INDEX(Products!$C$2:$C$51,MATCH(C403,Products!$B$2:$B$51,0))</f>
        <v>Adventure</v>
      </c>
    </row>
    <row r="404" customFormat="false" ht="15" hidden="false" customHeight="false" outlineLevel="0" collapsed="false">
      <c r="A404" s="32" t="n">
        <v>45844</v>
      </c>
      <c r="B404" s="33" t="s">
        <v>53</v>
      </c>
      <c r="C404" s="33" t="s">
        <v>120</v>
      </c>
      <c r="D404" s="34" t="n">
        <v>124000</v>
      </c>
      <c r="E404" s="33" t="n">
        <v>9</v>
      </c>
      <c r="F404" s="34" t="n">
        <f aca="false">D404*E404</f>
        <v>1116000</v>
      </c>
      <c r="G404" s="33" t="s">
        <v>57</v>
      </c>
      <c r="H404" s="33" t="str">
        <f aca="false">INDEX(Products!$C$2:$C$51,MATCH(C404,Products!$B$2:$B$51,0))</f>
        <v>Scooter</v>
      </c>
    </row>
    <row r="405" customFormat="false" ht="15" hidden="false" customHeight="false" outlineLevel="0" collapsed="false">
      <c r="A405" s="32" t="n">
        <v>45844</v>
      </c>
      <c r="B405" s="33" t="s">
        <v>49</v>
      </c>
      <c r="C405" s="33" t="s">
        <v>71</v>
      </c>
      <c r="D405" s="34" t="n">
        <v>165000</v>
      </c>
      <c r="E405" s="33" t="n">
        <v>18</v>
      </c>
      <c r="F405" s="34" t="n">
        <f aca="false">D405*E405</f>
        <v>2970000</v>
      </c>
      <c r="G405" s="33" t="s">
        <v>50</v>
      </c>
      <c r="H405" s="33" t="str">
        <f aca="false">INDEX(Products!$C$2:$C$51,MATCH(C405,Products!$B$2:$B$51,0))</f>
        <v>Naked Bike</v>
      </c>
    </row>
    <row r="406" customFormat="false" ht="15" hidden="false" customHeight="false" outlineLevel="0" collapsed="false">
      <c r="A406" s="32" t="n">
        <v>45844</v>
      </c>
      <c r="B406" s="33" t="s">
        <v>49</v>
      </c>
      <c r="C406" s="33" t="s">
        <v>123</v>
      </c>
      <c r="D406" s="34" t="n">
        <v>79900</v>
      </c>
      <c r="E406" s="33" t="n">
        <v>34</v>
      </c>
      <c r="F406" s="34" t="n">
        <f aca="false">D406*E406</f>
        <v>2716600</v>
      </c>
      <c r="G406" s="33" t="s">
        <v>54</v>
      </c>
      <c r="H406" s="33" t="str">
        <f aca="false">INDEX(Products!$C$2:$C$51,MATCH(C406,Products!$B$2:$B$51,0))</f>
        <v>Scooter</v>
      </c>
    </row>
    <row r="407" customFormat="false" ht="15" hidden="false" customHeight="false" outlineLevel="0" collapsed="false">
      <c r="A407" s="32" t="n">
        <v>45844</v>
      </c>
      <c r="B407" s="33" t="s">
        <v>49</v>
      </c>
      <c r="C407" s="33" t="s">
        <v>105</v>
      </c>
      <c r="D407" s="34" t="n">
        <v>349000</v>
      </c>
      <c r="E407" s="33" t="n">
        <v>42</v>
      </c>
      <c r="F407" s="34" t="n">
        <f aca="false">D407*E407</f>
        <v>14658000</v>
      </c>
      <c r="G407" s="33" t="s">
        <v>57</v>
      </c>
      <c r="H407" s="33" t="str">
        <f aca="false">INDEX(Products!$C$2:$C$51,MATCH(C407,Products!$B$2:$B$51,0))</f>
        <v>Cruiser</v>
      </c>
    </row>
    <row r="408" customFormat="false" ht="15" hidden="false" customHeight="false" outlineLevel="0" collapsed="false">
      <c r="A408" s="32" t="n">
        <v>45844</v>
      </c>
      <c r="B408" s="33" t="s">
        <v>49</v>
      </c>
      <c r="C408" s="33" t="s">
        <v>116</v>
      </c>
      <c r="D408" s="34" t="n">
        <v>219000</v>
      </c>
      <c r="E408" s="33" t="n">
        <v>28</v>
      </c>
      <c r="F408" s="34" t="n">
        <f aca="false">D408*E408</f>
        <v>6132000</v>
      </c>
      <c r="G408" s="33" t="s">
        <v>50</v>
      </c>
      <c r="H408" s="33" t="str">
        <f aca="false">INDEX(Products!$C$2:$C$51,MATCH(C408,Products!$B$2:$B$51,0))</f>
        <v>Scooter</v>
      </c>
    </row>
    <row r="409" customFormat="false" ht="15" hidden="false" customHeight="false" outlineLevel="0" collapsed="false">
      <c r="A409" s="32" t="n">
        <v>45844</v>
      </c>
      <c r="B409" s="33" t="s">
        <v>53</v>
      </c>
      <c r="C409" s="33" t="s">
        <v>52</v>
      </c>
      <c r="D409" s="34" t="n">
        <v>398000</v>
      </c>
      <c r="E409" s="33" t="n">
        <v>13</v>
      </c>
      <c r="F409" s="34" t="n">
        <f aca="false">D409*E409</f>
        <v>5174000</v>
      </c>
      <c r="G409" s="33" t="s">
        <v>50</v>
      </c>
      <c r="H409" s="33" t="str">
        <f aca="false">INDEX(Products!$C$2:$C$51,MATCH(C409,Products!$B$2:$B$51,0))</f>
        <v>Cruiser</v>
      </c>
    </row>
    <row r="410" customFormat="false" ht="15" hidden="false" customHeight="false" outlineLevel="0" collapsed="false">
      <c r="A410" s="32" t="n">
        <v>45844</v>
      </c>
      <c r="B410" s="33" t="s">
        <v>49</v>
      </c>
      <c r="C410" s="33" t="s">
        <v>55</v>
      </c>
      <c r="D410" s="34" t="n">
        <v>67900</v>
      </c>
      <c r="E410" s="33" t="n">
        <v>17</v>
      </c>
      <c r="F410" s="34" t="n">
        <f aca="false">D410*E410</f>
        <v>1154300</v>
      </c>
      <c r="G410" s="33" t="s">
        <v>54</v>
      </c>
      <c r="H410" s="33" t="str">
        <f aca="false">INDEX(Products!$C$2:$C$51,MATCH(C410,Products!$B$2:$B$51,0))</f>
        <v>Commuter</v>
      </c>
    </row>
    <row r="411" customFormat="false" ht="15" hidden="false" customHeight="false" outlineLevel="0" collapsed="false">
      <c r="A411" s="32" t="n">
        <v>45844</v>
      </c>
      <c r="B411" s="33" t="s">
        <v>53</v>
      </c>
      <c r="C411" s="33" t="s">
        <v>51</v>
      </c>
      <c r="D411" s="34" t="n">
        <v>689000</v>
      </c>
      <c r="E411" s="33" t="n">
        <v>16</v>
      </c>
      <c r="F411" s="34" t="n">
        <f aca="false">D411*E411</f>
        <v>11024000</v>
      </c>
      <c r="G411" s="33" t="s">
        <v>54</v>
      </c>
      <c r="H411" s="33" t="str">
        <f aca="false">INDEX(Products!$C$2:$C$51,MATCH(C411,Products!$B$2:$B$51,0))</f>
        <v>Heritage</v>
      </c>
    </row>
    <row r="412" customFormat="false" ht="15" hidden="false" customHeight="false" outlineLevel="0" collapsed="false">
      <c r="A412" s="32" t="n">
        <v>45844</v>
      </c>
      <c r="B412" s="33" t="s">
        <v>53</v>
      </c>
      <c r="C412" s="33" t="s">
        <v>65</v>
      </c>
      <c r="D412" s="34" t="n">
        <v>345000</v>
      </c>
      <c r="E412" s="33" t="n">
        <v>13</v>
      </c>
      <c r="F412" s="34" t="n">
        <f aca="false">D412*E412</f>
        <v>4485000</v>
      </c>
      <c r="G412" s="33" t="s">
        <v>54</v>
      </c>
      <c r="H412" s="33" t="str">
        <f aca="false">INDEX(Products!$C$2:$C$51,MATCH(C412,Products!$B$2:$B$51,0))</f>
        <v>Touring</v>
      </c>
    </row>
    <row r="413" customFormat="false" ht="15" hidden="false" customHeight="false" outlineLevel="0" collapsed="false">
      <c r="A413" s="32" t="n">
        <v>45844</v>
      </c>
      <c r="B413" s="33" t="s">
        <v>53</v>
      </c>
      <c r="C413" s="33" t="s">
        <v>131</v>
      </c>
      <c r="D413" s="34" t="n">
        <v>72900</v>
      </c>
      <c r="E413" s="33" t="n">
        <v>29</v>
      </c>
      <c r="F413" s="34" t="n">
        <f aca="false">D413*E413</f>
        <v>2114100</v>
      </c>
      <c r="G413" s="33" t="s">
        <v>54</v>
      </c>
      <c r="H413" s="33" t="str">
        <f aca="false">INDEX(Products!$C$2:$C$51,MATCH(C413,Products!$B$2:$B$51,0))</f>
        <v>Underbone</v>
      </c>
    </row>
    <row r="414" customFormat="false" ht="15" hidden="false" customHeight="false" outlineLevel="0" collapsed="false">
      <c r="A414" s="32" t="n">
        <v>45845</v>
      </c>
      <c r="B414" s="33" t="s">
        <v>49</v>
      </c>
      <c r="C414" s="33" t="s">
        <v>55</v>
      </c>
      <c r="D414" s="34" t="n">
        <v>67900</v>
      </c>
      <c r="E414" s="33" t="n">
        <v>1</v>
      </c>
      <c r="F414" s="34" t="n">
        <f aca="false">D414*E414</f>
        <v>67900</v>
      </c>
      <c r="G414" s="33" t="s">
        <v>50</v>
      </c>
      <c r="H414" s="33" t="str">
        <f aca="false">INDEX(Products!$C$2:$C$51,MATCH(C414,Products!$B$2:$B$51,0))</f>
        <v>Commuter</v>
      </c>
    </row>
    <row r="415" customFormat="false" ht="15" hidden="false" customHeight="false" outlineLevel="0" collapsed="false">
      <c r="A415" s="32" t="n">
        <v>45845</v>
      </c>
      <c r="B415" s="33" t="s">
        <v>49</v>
      </c>
      <c r="C415" s="33" t="s">
        <v>62</v>
      </c>
      <c r="D415" s="34" t="n">
        <v>650000</v>
      </c>
      <c r="E415" s="33" t="n">
        <v>41</v>
      </c>
      <c r="F415" s="34" t="n">
        <f aca="false">D415*E415</f>
        <v>26650000</v>
      </c>
      <c r="G415" s="33" t="s">
        <v>50</v>
      </c>
      <c r="H415" s="33" t="str">
        <f aca="false">INDEX(Products!$C$2:$C$51,MATCH(C415,Products!$B$2:$B$51,0))</f>
        <v>Cruiser</v>
      </c>
    </row>
    <row r="416" customFormat="false" ht="15" hidden="false" customHeight="false" outlineLevel="0" collapsed="false">
      <c r="A416" s="32" t="n">
        <v>45845</v>
      </c>
      <c r="B416" s="33" t="s">
        <v>53</v>
      </c>
      <c r="C416" s="33" t="s">
        <v>108</v>
      </c>
      <c r="D416" s="34" t="n">
        <v>331000</v>
      </c>
      <c r="E416" s="33" t="n">
        <v>50</v>
      </c>
      <c r="F416" s="34" t="n">
        <f aca="false">D416*E416</f>
        <v>16550000</v>
      </c>
      <c r="G416" s="33" t="s">
        <v>57</v>
      </c>
      <c r="H416" s="33" t="str">
        <f aca="false">INDEX(Products!$C$2:$C$51,MATCH(C416,Products!$B$2:$B$51,0))</f>
        <v>Naked Bike</v>
      </c>
    </row>
    <row r="417" customFormat="false" ht="15" hidden="false" customHeight="false" outlineLevel="0" collapsed="false">
      <c r="A417" s="32" t="n">
        <v>45845</v>
      </c>
      <c r="B417" s="33" t="s">
        <v>53</v>
      </c>
      <c r="C417" s="33" t="s">
        <v>99</v>
      </c>
      <c r="D417" s="34" t="n">
        <v>369000</v>
      </c>
      <c r="E417" s="33" t="n">
        <v>49</v>
      </c>
      <c r="F417" s="34" t="n">
        <f aca="false">D417*E417</f>
        <v>18081000</v>
      </c>
      <c r="G417" s="33" t="s">
        <v>54</v>
      </c>
      <c r="H417" s="33" t="str">
        <f aca="false">INDEX(Products!$C$2:$C$51,MATCH(C417,Products!$B$2:$B$51,0))</f>
        <v>Adventure</v>
      </c>
    </row>
    <row r="418" customFormat="false" ht="15" hidden="false" customHeight="false" outlineLevel="0" collapsed="false">
      <c r="A418" s="32" t="n">
        <v>45845</v>
      </c>
      <c r="B418" s="33" t="s">
        <v>53</v>
      </c>
      <c r="C418" s="33" t="s">
        <v>130</v>
      </c>
      <c r="D418" s="34" t="n">
        <v>119900</v>
      </c>
      <c r="E418" s="33" t="n">
        <v>17</v>
      </c>
      <c r="F418" s="34" t="n">
        <f aca="false">D418*E418</f>
        <v>2038300</v>
      </c>
      <c r="G418" s="33" t="s">
        <v>50</v>
      </c>
      <c r="H418" s="33" t="str">
        <f aca="false">INDEX(Products!$C$2:$C$51,MATCH(C418,Products!$B$2:$B$51,0))</f>
        <v>Underbone</v>
      </c>
    </row>
    <row r="419" customFormat="false" ht="15" hidden="false" customHeight="false" outlineLevel="0" collapsed="false">
      <c r="A419" s="32" t="n">
        <v>45845</v>
      </c>
      <c r="B419" s="33" t="s">
        <v>53</v>
      </c>
      <c r="C419" s="33" t="s">
        <v>123</v>
      </c>
      <c r="D419" s="34" t="n">
        <v>79900</v>
      </c>
      <c r="E419" s="33" t="n">
        <v>42</v>
      </c>
      <c r="F419" s="34" t="n">
        <f aca="false">D419*E419</f>
        <v>3355800</v>
      </c>
      <c r="G419" s="33" t="s">
        <v>54</v>
      </c>
      <c r="H419" s="33" t="str">
        <f aca="false">INDEX(Products!$C$2:$C$51,MATCH(C419,Products!$B$2:$B$51,0))</f>
        <v>Scooter</v>
      </c>
    </row>
    <row r="420" customFormat="false" ht="15" hidden="false" customHeight="false" outlineLevel="0" collapsed="false">
      <c r="A420" s="32" t="n">
        <v>45845</v>
      </c>
      <c r="B420" s="33" t="s">
        <v>49</v>
      </c>
      <c r="C420" s="33" t="s">
        <v>107</v>
      </c>
      <c r="D420" s="34" t="n">
        <v>199000</v>
      </c>
      <c r="E420" s="33" t="n">
        <v>9</v>
      </c>
      <c r="F420" s="34" t="n">
        <f aca="false">D420*E420</f>
        <v>1791000</v>
      </c>
      <c r="G420" s="33" t="s">
        <v>57</v>
      </c>
      <c r="H420" s="33" t="str">
        <f aca="false">INDEX(Products!$C$2:$C$51,MATCH(C420,Products!$B$2:$B$51,0))</f>
        <v>Dual-Sport</v>
      </c>
    </row>
    <row r="421" customFormat="false" ht="15" hidden="false" customHeight="false" outlineLevel="0" collapsed="false">
      <c r="A421" s="32" t="n">
        <v>45845</v>
      </c>
      <c r="B421" s="33" t="s">
        <v>53</v>
      </c>
      <c r="C421" s="33" t="s">
        <v>70</v>
      </c>
      <c r="D421" s="34" t="n">
        <v>320000</v>
      </c>
      <c r="E421" s="33" t="n">
        <v>22</v>
      </c>
      <c r="F421" s="34" t="n">
        <f aca="false">D421*E421</f>
        <v>7040000</v>
      </c>
      <c r="G421" s="33" t="s">
        <v>50</v>
      </c>
      <c r="H421" s="33" t="str">
        <f aca="false">INDEX(Products!$C$2:$C$51,MATCH(C421,Products!$B$2:$B$51,0))</f>
        <v>Adventure</v>
      </c>
    </row>
    <row r="422" customFormat="false" ht="15" hidden="false" customHeight="false" outlineLevel="0" collapsed="false">
      <c r="A422" s="32" t="n">
        <v>45846</v>
      </c>
      <c r="B422" s="33" t="s">
        <v>53</v>
      </c>
      <c r="C422" s="33" t="s">
        <v>69</v>
      </c>
      <c r="D422" s="34" t="n">
        <v>164900</v>
      </c>
      <c r="E422" s="33" t="n">
        <v>43</v>
      </c>
      <c r="F422" s="34" t="n">
        <f aca="false">D422*E422</f>
        <v>7090700</v>
      </c>
      <c r="G422" s="33" t="s">
        <v>57</v>
      </c>
      <c r="H422" s="33" t="str">
        <f aca="false">INDEX(Products!$C$2:$C$51,MATCH(C422,Products!$B$2:$B$51,0))</f>
        <v>Scooter</v>
      </c>
    </row>
    <row r="423" customFormat="false" ht="15" hidden="false" customHeight="false" outlineLevel="0" collapsed="false">
      <c r="A423" s="32" t="n">
        <v>45846</v>
      </c>
      <c r="B423" s="33" t="s">
        <v>53</v>
      </c>
      <c r="C423" s="33" t="s">
        <v>121</v>
      </c>
      <c r="D423" s="34" t="n">
        <v>80900</v>
      </c>
      <c r="E423" s="33" t="n">
        <v>42</v>
      </c>
      <c r="F423" s="34" t="n">
        <f aca="false">D423*E423</f>
        <v>3397800</v>
      </c>
      <c r="G423" s="33" t="s">
        <v>54</v>
      </c>
      <c r="H423" s="33" t="str">
        <f aca="false">INDEX(Products!$C$2:$C$51,MATCH(C423,Products!$B$2:$B$51,0))</f>
        <v>Scooter</v>
      </c>
    </row>
    <row r="424" customFormat="false" ht="15" hidden="false" customHeight="false" outlineLevel="0" collapsed="false">
      <c r="A424" s="32" t="n">
        <v>45846</v>
      </c>
      <c r="B424" s="33" t="s">
        <v>53</v>
      </c>
      <c r="C424" s="33" t="s">
        <v>118</v>
      </c>
      <c r="D424" s="34" t="n">
        <v>151900</v>
      </c>
      <c r="E424" s="33" t="n">
        <v>9</v>
      </c>
      <c r="F424" s="34" t="n">
        <f aca="false">D424*E424</f>
        <v>1367100</v>
      </c>
      <c r="G424" s="33" t="s">
        <v>57</v>
      </c>
      <c r="H424" s="33" t="str">
        <f aca="false">INDEX(Products!$C$2:$C$51,MATCH(C424,Products!$B$2:$B$51,0))</f>
        <v>Scooter</v>
      </c>
    </row>
    <row r="425" customFormat="false" ht="15" hidden="false" customHeight="false" outlineLevel="0" collapsed="false">
      <c r="A425" s="32" t="n">
        <v>45846</v>
      </c>
      <c r="B425" s="33" t="s">
        <v>53</v>
      </c>
      <c r="C425" s="33" t="s">
        <v>119</v>
      </c>
      <c r="D425" s="34" t="n">
        <v>128000</v>
      </c>
      <c r="E425" s="33" t="n">
        <v>35</v>
      </c>
      <c r="F425" s="34" t="n">
        <f aca="false">D425*E425</f>
        <v>4480000</v>
      </c>
      <c r="G425" s="33" t="s">
        <v>50</v>
      </c>
      <c r="H425" s="33" t="str">
        <f aca="false">INDEX(Products!$C$2:$C$51,MATCH(C425,Products!$B$2:$B$51,0))</f>
        <v>Scooter</v>
      </c>
    </row>
    <row r="426" customFormat="false" ht="15" hidden="false" customHeight="false" outlineLevel="0" collapsed="false">
      <c r="A426" s="32" t="n">
        <v>45846</v>
      </c>
      <c r="B426" s="33" t="s">
        <v>49</v>
      </c>
      <c r="C426" s="33" t="s">
        <v>60</v>
      </c>
      <c r="D426" s="34" t="n">
        <v>599000</v>
      </c>
      <c r="E426" s="33" t="n">
        <v>5</v>
      </c>
      <c r="F426" s="34" t="n">
        <f aca="false">D426*E426</f>
        <v>2995000</v>
      </c>
      <c r="G426" s="33" t="s">
        <v>54</v>
      </c>
      <c r="H426" s="33" t="str">
        <f aca="false">INDEX(Products!$C$2:$C$51,MATCH(C426,Products!$B$2:$B$51,0))</f>
        <v>Naked Bike</v>
      </c>
    </row>
    <row r="427" customFormat="false" ht="15" hidden="false" customHeight="false" outlineLevel="0" collapsed="false">
      <c r="A427" s="32" t="n">
        <v>45846</v>
      </c>
      <c r="B427" s="33" t="s">
        <v>53</v>
      </c>
      <c r="C427" s="33" t="s">
        <v>55</v>
      </c>
      <c r="D427" s="34" t="n">
        <v>67900</v>
      </c>
      <c r="E427" s="33" t="n">
        <v>4</v>
      </c>
      <c r="F427" s="34" t="n">
        <f aca="false">D427*E427</f>
        <v>271600</v>
      </c>
      <c r="G427" s="33" t="s">
        <v>54</v>
      </c>
      <c r="H427" s="33" t="str">
        <f aca="false">INDEX(Products!$C$2:$C$51,MATCH(C427,Products!$B$2:$B$51,0))</f>
        <v>Commuter</v>
      </c>
    </row>
    <row r="428" customFormat="false" ht="15" hidden="false" customHeight="false" outlineLevel="0" collapsed="false">
      <c r="A428" s="32" t="n">
        <v>45846</v>
      </c>
      <c r="B428" s="33" t="s">
        <v>53</v>
      </c>
      <c r="C428" s="33" t="s">
        <v>128</v>
      </c>
      <c r="D428" s="34" t="n">
        <v>68900</v>
      </c>
      <c r="E428" s="33" t="n">
        <v>15</v>
      </c>
      <c r="F428" s="34" t="n">
        <f aca="false">D428*E428</f>
        <v>1033500</v>
      </c>
      <c r="G428" s="33" t="s">
        <v>56</v>
      </c>
      <c r="H428" s="33" t="str">
        <f aca="false">INDEX(Products!$C$2:$C$51,MATCH(C428,Products!$B$2:$B$51,0))</f>
        <v>Standard</v>
      </c>
    </row>
    <row r="429" customFormat="false" ht="15" hidden="false" customHeight="false" outlineLevel="0" collapsed="false">
      <c r="A429" s="32" t="n">
        <v>45846</v>
      </c>
      <c r="B429" s="33" t="s">
        <v>49</v>
      </c>
      <c r="C429" s="33" t="s">
        <v>58</v>
      </c>
      <c r="D429" s="34" t="n">
        <v>995000</v>
      </c>
      <c r="E429" s="33" t="n">
        <v>10</v>
      </c>
      <c r="F429" s="34" t="n">
        <f aca="false">D429*E429</f>
        <v>9950000</v>
      </c>
      <c r="G429" s="33" t="s">
        <v>57</v>
      </c>
      <c r="H429" s="33" t="str">
        <f aca="false">INDEX(Products!$C$2:$C$51,MATCH(C429,Products!$B$2:$B$51,0))</f>
        <v>Heritage</v>
      </c>
    </row>
    <row r="430" customFormat="false" ht="15" hidden="false" customHeight="false" outlineLevel="0" collapsed="false">
      <c r="A430" s="32" t="n">
        <v>45846</v>
      </c>
      <c r="B430" s="33" t="s">
        <v>49</v>
      </c>
      <c r="C430" s="33" t="s">
        <v>59</v>
      </c>
      <c r="D430" s="34" t="n">
        <v>165000</v>
      </c>
      <c r="E430" s="33" t="n">
        <v>1</v>
      </c>
      <c r="F430" s="34" t="n">
        <f aca="false">D430*E430</f>
        <v>165000</v>
      </c>
      <c r="G430" s="33" t="s">
        <v>50</v>
      </c>
      <c r="H430" s="33" t="str">
        <f aca="false">INDEX(Products!$C$2:$C$51,MATCH(C430,Products!$B$2:$B$51,0))</f>
        <v>Sport</v>
      </c>
    </row>
    <row r="431" customFormat="false" ht="15" hidden="false" customHeight="false" outlineLevel="0" collapsed="false">
      <c r="A431" s="32" t="n">
        <v>45846</v>
      </c>
      <c r="B431" s="33" t="s">
        <v>49</v>
      </c>
      <c r="C431" s="33" t="s">
        <v>118</v>
      </c>
      <c r="D431" s="34" t="n">
        <v>151900</v>
      </c>
      <c r="E431" s="33" t="n">
        <v>3</v>
      </c>
      <c r="F431" s="34" t="n">
        <f aca="false">D431*E431</f>
        <v>455700</v>
      </c>
      <c r="G431" s="33" t="s">
        <v>54</v>
      </c>
      <c r="H431" s="33" t="str">
        <f aca="false">INDEX(Products!$C$2:$C$51,MATCH(C431,Products!$B$2:$B$51,0))</f>
        <v>Scooter</v>
      </c>
    </row>
    <row r="432" customFormat="false" ht="15" hidden="false" customHeight="false" outlineLevel="0" collapsed="false">
      <c r="A432" s="32" t="n">
        <v>45846</v>
      </c>
      <c r="B432" s="33" t="s">
        <v>49</v>
      </c>
      <c r="C432" s="33" t="s">
        <v>61</v>
      </c>
      <c r="D432" s="34" t="n">
        <v>299000</v>
      </c>
      <c r="E432" s="33" t="n">
        <v>6</v>
      </c>
      <c r="F432" s="34" t="n">
        <f aca="false">D432*E432</f>
        <v>1794000</v>
      </c>
      <c r="G432" s="33" t="s">
        <v>50</v>
      </c>
      <c r="H432" s="33" t="str">
        <f aca="false">INDEX(Products!$C$2:$C$51,MATCH(C432,Products!$B$2:$B$51,0))</f>
        <v>Dual-Sport</v>
      </c>
    </row>
    <row r="433" customFormat="false" ht="15" hidden="false" customHeight="false" outlineLevel="0" collapsed="false">
      <c r="A433" s="32" t="n">
        <v>45847</v>
      </c>
      <c r="B433" s="33" t="s">
        <v>53</v>
      </c>
      <c r="C433" s="33" t="s">
        <v>52</v>
      </c>
      <c r="D433" s="34" t="n">
        <v>398000</v>
      </c>
      <c r="E433" s="33" t="n">
        <v>11</v>
      </c>
      <c r="F433" s="34" t="n">
        <f aca="false">D433*E433</f>
        <v>4378000</v>
      </c>
      <c r="G433" s="33" t="s">
        <v>57</v>
      </c>
      <c r="H433" s="33" t="str">
        <f aca="false">INDEX(Products!$C$2:$C$51,MATCH(C433,Products!$B$2:$B$51,0))</f>
        <v>Cruiser</v>
      </c>
    </row>
    <row r="434" customFormat="false" ht="15" hidden="false" customHeight="false" outlineLevel="0" collapsed="false">
      <c r="A434" s="32" t="n">
        <v>45847</v>
      </c>
      <c r="B434" s="33" t="s">
        <v>49</v>
      </c>
      <c r="C434" s="33" t="s">
        <v>63</v>
      </c>
      <c r="D434" s="34" t="n">
        <v>99900</v>
      </c>
      <c r="E434" s="33" t="n">
        <v>20</v>
      </c>
      <c r="F434" s="34" t="n">
        <f aca="false">D434*E434</f>
        <v>1998000</v>
      </c>
      <c r="G434" s="33" t="s">
        <v>57</v>
      </c>
      <c r="H434" s="33" t="str">
        <f aca="false">INDEX(Products!$C$2:$C$51,MATCH(C434,Products!$B$2:$B$51,0))</f>
        <v>Street</v>
      </c>
    </row>
    <row r="435" customFormat="false" ht="15" hidden="false" customHeight="false" outlineLevel="0" collapsed="false">
      <c r="A435" s="32" t="n">
        <v>45847</v>
      </c>
      <c r="B435" s="33" t="s">
        <v>53</v>
      </c>
      <c r="C435" s="33" t="s">
        <v>111</v>
      </c>
      <c r="D435" s="34" t="n">
        <v>129000</v>
      </c>
      <c r="E435" s="33" t="n">
        <v>37</v>
      </c>
      <c r="F435" s="34" t="n">
        <f aca="false">D435*E435</f>
        <v>4773000</v>
      </c>
      <c r="G435" s="33" t="s">
        <v>50</v>
      </c>
      <c r="H435" s="33" t="str">
        <f aca="false">INDEX(Products!$C$2:$C$51,MATCH(C435,Products!$B$2:$B$51,0))</f>
        <v>Naked Bike</v>
      </c>
    </row>
    <row r="436" customFormat="false" ht="15" hidden="false" customHeight="false" outlineLevel="0" collapsed="false">
      <c r="A436" s="32" t="n">
        <v>45847</v>
      </c>
      <c r="B436" s="33" t="s">
        <v>53</v>
      </c>
      <c r="C436" s="33" t="s">
        <v>127</v>
      </c>
      <c r="D436" s="34" t="n">
        <v>199900</v>
      </c>
      <c r="E436" s="33" t="n">
        <v>1</v>
      </c>
      <c r="F436" s="34" t="n">
        <f aca="false">D436*E436</f>
        <v>199900</v>
      </c>
      <c r="G436" s="33" t="s">
        <v>50</v>
      </c>
      <c r="H436" s="33" t="str">
        <f aca="false">INDEX(Products!$C$2:$C$51,MATCH(C436,Products!$B$2:$B$51,0))</f>
        <v>Sport Touring</v>
      </c>
    </row>
    <row r="437" customFormat="false" ht="15" hidden="false" customHeight="false" outlineLevel="0" collapsed="false">
      <c r="A437" s="32" t="n">
        <v>45847</v>
      </c>
      <c r="B437" s="33" t="s">
        <v>49</v>
      </c>
      <c r="C437" s="33" t="s">
        <v>112</v>
      </c>
      <c r="D437" s="34" t="n">
        <v>125000</v>
      </c>
      <c r="E437" s="33" t="n">
        <v>9</v>
      </c>
      <c r="F437" s="34" t="n">
        <f aca="false">D437*E437</f>
        <v>1125000</v>
      </c>
      <c r="G437" s="33" t="s">
        <v>50</v>
      </c>
      <c r="H437" s="33" t="str">
        <f aca="false">INDEX(Products!$C$2:$C$51,MATCH(C437,Products!$B$2:$B$51,0))</f>
        <v>Naked Bike</v>
      </c>
    </row>
    <row r="438" customFormat="false" ht="15" hidden="false" customHeight="false" outlineLevel="0" collapsed="false">
      <c r="A438" s="32" t="n">
        <v>45847</v>
      </c>
      <c r="B438" s="33" t="s">
        <v>53</v>
      </c>
      <c r="C438" s="33" t="s">
        <v>61</v>
      </c>
      <c r="D438" s="34" t="n">
        <v>299000</v>
      </c>
      <c r="E438" s="33" t="n">
        <v>6</v>
      </c>
      <c r="F438" s="34" t="n">
        <f aca="false">D438*E438</f>
        <v>1794000</v>
      </c>
      <c r="G438" s="33" t="s">
        <v>50</v>
      </c>
      <c r="H438" s="33" t="str">
        <f aca="false">INDEX(Products!$C$2:$C$51,MATCH(C438,Products!$B$2:$B$51,0))</f>
        <v>Dual-Sport</v>
      </c>
    </row>
    <row r="439" customFormat="false" ht="15" hidden="false" customHeight="false" outlineLevel="0" collapsed="false">
      <c r="A439" s="32" t="n">
        <v>45847</v>
      </c>
      <c r="B439" s="33" t="s">
        <v>53</v>
      </c>
      <c r="C439" s="33" t="s">
        <v>63</v>
      </c>
      <c r="D439" s="34" t="n">
        <v>99900</v>
      </c>
      <c r="E439" s="33" t="n">
        <v>16</v>
      </c>
      <c r="F439" s="34" t="n">
        <f aca="false">D439*E439</f>
        <v>1598400</v>
      </c>
      <c r="G439" s="33" t="s">
        <v>54</v>
      </c>
      <c r="H439" s="33" t="str">
        <f aca="false">INDEX(Products!$C$2:$C$51,MATCH(C439,Products!$B$2:$B$51,0))</f>
        <v>Street</v>
      </c>
    </row>
    <row r="440" customFormat="false" ht="15" hidden="false" customHeight="false" outlineLevel="0" collapsed="false">
      <c r="A440" s="32" t="n">
        <v>45847</v>
      </c>
      <c r="B440" s="33" t="s">
        <v>49</v>
      </c>
      <c r="C440" s="33" t="s">
        <v>100</v>
      </c>
      <c r="D440" s="34" t="n">
        <v>78900</v>
      </c>
      <c r="E440" s="33" t="n">
        <v>16</v>
      </c>
      <c r="F440" s="34" t="n">
        <f aca="false">D440*E440</f>
        <v>1262400</v>
      </c>
      <c r="G440" s="33" t="s">
        <v>54</v>
      </c>
      <c r="H440" s="33" t="str">
        <f aca="false">INDEX(Products!$C$2:$C$51,MATCH(C440,Products!$B$2:$B$51,0))</f>
        <v>Adventure</v>
      </c>
    </row>
    <row r="441" customFormat="false" ht="15" hidden="false" customHeight="false" outlineLevel="0" collapsed="false">
      <c r="A441" s="32" t="n">
        <v>45847</v>
      </c>
      <c r="B441" s="33" t="s">
        <v>53</v>
      </c>
      <c r="C441" s="33" t="s">
        <v>55</v>
      </c>
      <c r="D441" s="34" t="n">
        <v>67900</v>
      </c>
      <c r="E441" s="33" t="n">
        <v>17</v>
      </c>
      <c r="F441" s="34" t="n">
        <f aca="false">D441*E441</f>
        <v>1154300</v>
      </c>
      <c r="G441" s="33" t="s">
        <v>54</v>
      </c>
      <c r="H441" s="33" t="str">
        <f aca="false">INDEX(Products!$C$2:$C$51,MATCH(C441,Products!$B$2:$B$51,0))</f>
        <v>Commuter</v>
      </c>
    </row>
    <row r="442" customFormat="false" ht="15" hidden="false" customHeight="false" outlineLevel="0" collapsed="false">
      <c r="A442" s="32" t="n">
        <v>45847</v>
      </c>
      <c r="B442" s="33" t="s">
        <v>53</v>
      </c>
      <c r="C442" s="33" t="s">
        <v>118</v>
      </c>
      <c r="D442" s="34" t="n">
        <v>151900</v>
      </c>
      <c r="E442" s="33" t="n">
        <v>9</v>
      </c>
      <c r="F442" s="34" t="n">
        <f aca="false">D442*E442</f>
        <v>1367100</v>
      </c>
      <c r="G442" s="33" t="s">
        <v>50</v>
      </c>
      <c r="H442" s="33" t="str">
        <f aca="false">INDEX(Products!$C$2:$C$51,MATCH(C442,Products!$B$2:$B$51,0))</f>
        <v>Scooter</v>
      </c>
    </row>
    <row r="443" customFormat="false" ht="15" hidden="false" customHeight="false" outlineLevel="0" collapsed="false">
      <c r="A443" s="32" t="n">
        <v>45847</v>
      </c>
      <c r="B443" s="33" t="s">
        <v>53</v>
      </c>
      <c r="C443" s="33" t="s">
        <v>67</v>
      </c>
      <c r="D443" s="34" t="n">
        <v>250000</v>
      </c>
      <c r="E443" s="33" t="n">
        <v>15</v>
      </c>
      <c r="F443" s="34" t="n">
        <f aca="false">D443*E443</f>
        <v>3750000</v>
      </c>
      <c r="G443" s="33" t="s">
        <v>54</v>
      </c>
      <c r="H443" s="33" t="str">
        <f aca="false">INDEX(Products!$C$2:$C$51,MATCH(C443,Products!$B$2:$B$51,0))</f>
        <v>Classic</v>
      </c>
    </row>
    <row r="444" customFormat="false" ht="15" hidden="false" customHeight="false" outlineLevel="0" collapsed="false">
      <c r="A444" s="32" t="n">
        <v>45847</v>
      </c>
      <c r="B444" s="33" t="s">
        <v>49</v>
      </c>
      <c r="C444" s="33" t="s">
        <v>108</v>
      </c>
      <c r="D444" s="34" t="n">
        <v>331000</v>
      </c>
      <c r="E444" s="33" t="n">
        <v>18</v>
      </c>
      <c r="F444" s="34" t="n">
        <f aca="false">D444*E444</f>
        <v>5958000</v>
      </c>
      <c r="G444" s="33" t="s">
        <v>50</v>
      </c>
      <c r="H444" s="33" t="str">
        <f aca="false">INDEX(Products!$C$2:$C$51,MATCH(C444,Products!$B$2:$B$51,0))</f>
        <v>Naked Bike</v>
      </c>
    </row>
    <row r="445" customFormat="false" ht="15" hidden="false" customHeight="false" outlineLevel="0" collapsed="false">
      <c r="A445" s="32" t="n">
        <v>45848</v>
      </c>
      <c r="B445" s="33" t="s">
        <v>49</v>
      </c>
      <c r="C445" s="33" t="s">
        <v>52</v>
      </c>
      <c r="D445" s="34" t="n">
        <v>398000</v>
      </c>
      <c r="E445" s="33" t="n">
        <v>20</v>
      </c>
      <c r="F445" s="34" t="n">
        <f aca="false">D445*E445</f>
        <v>7960000</v>
      </c>
      <c r="G445" s="33" t="s">
        <v>54</v>
      </c>
      <c r="H445" s="33" t="str">
        <f aca="false">INDEX(Products!$C$2:$C$51,MATCH(C445,Products!$B$2:$B$51,0))</f>
        <v>Cruiser</v>
      </c>
    </row>
    <row r="446" customFormat="false" ht="15" hidden="false" customHeight="false" outlineLevel="0" collapsed="false">
      <c r="A446" s="32" t="n">
        <v>45848</v>
      </c>
      <c r="B446" s="33" t="s">
        <v>49</v>
      </c>
      <c r="C446" s="33" t="s">
        <v>113</v>
      </c>
      <c r="D446" s="34" t="n">
        <v>182000</v>
      </c>
      <c r="E446" s="33" t="n">
        <v>12</v>
      </c>
      <c r="F446" s="34" t="n">
        <f aca="false">D446*E446</f>
        <v>2184000</v>
      </c>
      <c r="G446" s="33" t="s">
        <v>50</v>
      </c>
      <c r="H446" s="33" t="str">
        <f aca="false">INDEX(Products!$C$2:$C$51,MATCH(C446,Products!$B$2:$B$51,0))</f>
        <v>Retro</v>
      </c>
    </row>
    <row r="447" customFormat="false" ht="15" hidden="false" customHeight="false" outlineLevel="0" collapsed="false">
      <c r="A447" s="32" t="n">
        <v>45848</v>
      </c>
      <c r="B447" s="33" t="s">
        <v>53</v>
      </c>
      <c r="C447" s="33" t="s">
        <v>64</v>
      </c>
      <c r="D447" s="34" t="n">
        <v>248000</v>
      </c>
      <c r="E447" s="33" t="n">
        <v>49</v>
      </c>
      <c r="F447" s="34" t="n">
        <f aca="false">D447*E447</f>
        <v>12152000</v>
      </c>
      <c r="G447" s="33" t="s">
        <v>54</v>
      </c>
      <c r="H447" s="33" t="str">
        <f aca="false">INDEX(Products!$C$2:$C$51,MATCH(C447,Products!$B$2:$B$51,0))</f>
        <v>Adventure</v>
      </c>
    </row>
    <row r="448" customFormat="false" ht="15" hidden="false" customHeight="false" outlineLevel="0" collapsed="false">
      <c r="A448" s="32" t="n">
        <v>45848</v>
      </c>
      <c r="B448" s="33" t="s">
        <v>49</v>
      </c>
      <c r="C448" s="33" t="s">
        <v>102</v>
      </c>
      <c r="D448" s="34" t="n">
        <v>269000</v>
      </c>
      <c r="E448" s="33" t="n">
        <v>13</v>
      </c>
      <c r="F448" s="34" t="n">
        <f aca="false">D448*E448</f>
        <v>3497000</v>
      </c>
      <c r="G448" s="33" t="s">
        <v>54</v>
      </c>
      <c r="H448" s="33" t="str">
        <f aca="false">INDEX(Products!$C$2:$C$51,MATCH(C448,Products!$B$2:$B$51,0))</f>
        <v>Cafe Racer</v>
      </c>
    </row>
    <row r="449" customFormat="false" ht="15" hidden="false" customHeight="false" outlineLevel="0" collapsed="false">
      <c r="A449" s="32" t="n">
        <v>45848</v>
      </c>
      <c r="B449" s="33" t="s">
        <v>53</v>
      </c>
      <c r="C449" s="33" t="s">
        <v>52</v>
      </c>
      <c r="D449" s="34" t="n">
        <v>398000</v>
      </c>
      <c r="E449" s="33" t="n">
        <v>10</v>
      </c>
      <c r="F449" s="34" t="n">
        <f aca="false">D449*E449</f>
        <v>3980000</v>
      </c>
      <c r="G449" s="33" t="s">
        <v>57</v>
      </c>
      <c r="H449" s="33" t="str">
        <f aca="false">INDEX(Products!$C$2:$C$51,MATCH(C449,Products!$B$2:$B$51,0))</f>
        <v>Cruiser</v>
      </c>
    </row>
    <row r="450" customFormat="false" ht="15" hidden="false" customHeight="false" outlineLevel="0" collapsed="false">
      <c r="A450" s="32" t="n">
        <v>45848</v>
      </c>
      <c r="B450" s="33" t="s">
        <v>49</v>
      </c>
      <c r="C450" s="33" t="s">
        <v>126</v>
      </c>
      <c r="D450" s="34" t="n">
        <v>198000</v>
      </c>
      <c r="E450" s="33" t="n">
        <v>7</v>
      </c>
      <c r="F450" s="34" t="n">
        <f aca="false">D450*E450</f>
        <v>1386000</v>
      </c>
      <c r="G450" s="33" t="s">
        <v>50</v>
      </c>
      <c r="H450" s="33" t="str">
        <f aca="false">INDEX(Products!$C$2:$C$51,MATCH(C450,Products!$B$2:$B$51,0))</f>
        <v>Sport</v>
      </c>
    </row>
    <row r="451" customFormat="false" ht="15" hidden="false" customHeight="false" outlineLevel="0" collapsed="false">
      <c r="A451" s="32" t="n">
        <v>45848</v>
      </c>
      <c r="B451" s="33" t="s">
        <v>53</v>
      </c>
      <c r="C451" s="33" t="s">
        <v>65</v>
      </c>
      <c r="D451" s="34" t="n">
        <v>345000</v>
      </c>
      <c r="E451" s="33" t="n">
        <v>18</v>
      </c>
      <c r="F451" s="34" t="n">
        <f aca="false">D451*E451</f>
        <v>6210000</v>
      </c>
      <c r="G451" s="33" t="s">
        <v>54</v>
      </c>
      <c r="H451" s="33" t="str">
        <f aca="false">INDEX(Products!$C$2:$C$51,MATCH(C451,Products!$B$2:$B$51,0))</f>
        <v>Touring</v>
      </c>
    </row>
    <row r="452" customFormat="false" ht="15" hidden="false" customHeight="false" outlineLevel="0" collapsed="false">
      <c r="A452" s="32" t="n">
        <v>45848</v>
      </c>
      <c r="B452" s="33" t="s">
        <v>53</v>
      </c>
      <c r="C452" s="33" t="s">
        <v>52</v>
      </c>
      <c r="D452" s="34" t="n">
        <v>398000</v>
      </c>
      <c r="E452" s="33" t="n">
        <v>15</v>
      </c>
      <c r="F452" s="34" t="n">
        <f aca="false">D452*E452</f>
        <v>5970000</v>
      </c>
      <c r="G452" s="33" t="s">
        <v>57</v>
      </c>
      <c r="H452" s="33" t="str">
        <f aca="false">INDEX(Products!$C$2:$C$51,MATCH(C452,Products!$B$2:$B$51,0))</f>
        <v>Cruiser</v>
      </c>
    </row>
    <row r="453" customFormat="false" ht="15" hidden="false" customHeight="false" outlineLevel="0" collapsed="false">
      <c r="A453" s="32" t="n">
        <v>45849</v>
      </c>
      <c r="B453" s="33" t="s">
        <v>53</v>
      </c>
      <c r="C453" s="33" t="s">
        <v>104</v>
      </c>
      <c r="D453" s="34" t="n">
        <v>499000</v>
      </c>
      <c r="E453" s="33" t="n">
        <v>30</v>
      </c>
      <c r="F453" s="34" t="n">
        <f aca="false">D453*E453</f>
        <v>14970000</v>
      </c>
      <c r="G453" s="33" t="s">
        <v>57</v>
      </c>
      <c r="H453" s="33" t="str">
        <f aca="false">INDEX(Products!$C$2:$C$51,MATCH(C453,Products!$B$2:$B$51,0))</f>
        <v>Cruiser</v>
      </c>
    </row>
    <row r="454" customFormat="false" ht="15" hidden="false" customHeight="false" outlineLevel="0" collapsed="false">
      <c r="A454" s="32" t="n">
        <v>45849</v>
      </c>
      <c r="B454" s="33" t="s">
        <v>53</v>
      </c>
      <c r="C454" s="33" t="s">
        <v>66</v>
      </c>
      <c r="D454" s="34" t="n">
        <v>398000</v>
      </c>
      <c r="E454" s="33" t="n">
        <v>5</v>
      </c>
      <c r="F454" s="34" t="n">
        <f aca="false">D454*E454</f>
        <v>1990000</v>
      </c>
      <c r="G454" s="33" t="s">
        <v>50</v>
      </c>
      <c r="H454" s="33" t="str">
        <f aca="false">INDEX(Products!$C$2:$C$51,MATCH(C454,Products!$B$2:$B$51,0))</f>
        <v>Scooter</v>
      </c>
    </row>
    <row r="455" customFormat="false" ht="15" hidden="false" customHeight="false" outlineLevel="0" collapsed="false">
      <c r="A455" s="32" t="n">
        <v>45849</v>
      </c>
      <c r="B455" s="33" t="s">
        <v>53</v>
      </c>
      <c r="C455" s="33" t="s">
        <v>60</v>
      </c>
      <c r="D455" s="34" t="n">
        <v>599000</v>
      </c>
      <c r="E455" s="33" t="n">
        <v>26</v>
      </c>
      <c r="F455" s="34" t="n">
        <f aca="false">D455*E455</f>
        <v>15574000</v>
      </c>
      <c r="G455" s="33" t="s">
        <v>54</v>
      </c>
      <c r="H455" s="33" t="str">
        <f aca="false">INDEX(Products!$C$2:$C$51,MATCH(C455,Products!$B$2:$B$51,0))</f>
        <v>Naked Bike</v>
      </c>
    </row>
    <row r="456" customFormat="false" ht="15" hidden="false" customHeight="false" outlineLevel="0" collapsed="false">
      <c r="A456" s="32" t="n">
        <v>45849</v>
      </c>
      <c r="B456" s="33" t="s">
        <v>49</v>
      </c>
      <c r="C456" s="33" t="s">
        <v>107</v>
      </c>
      <c r="D456" s="34" t="n">
        <v>199000</v>
      </c>
      <c r="E456" s="33" t="n">
        <v>6</v>
      </c>
      <c r="F456" s="34" t="n">
        <f aca="false">D456*E456</f>
        <v>1194000</v>
      </c>
      <c r="G456" s="33" t="s">
        <v>54</v>
      </c>
      <c r="H456" s="33" t="str">
        <f aca="false">INDEX(Products!$C$2:$C$51,MATCH(C456,Products!$B$2:$B$51,0))</f>
        <v>Dual-Sport</v>
      </c>
    </row>
    <row r="457" customFormat="false" ht="15" hidden="false" customHeight="false" outlineLevel="0" collapsed="false">
      <c r="A457" s="32" t="n">
        <v>45849</v>
      </c>
      <c r="B457" s="33" t="s">
        <v>53</v>
      </c>
      <c r="C457" s="33" t="s">
        <v>61</v>
      </c>
      <c r="D457" s="34" t="n">
        <v>299000</v>
      </c>
      <c r="E457" s="33" t="n">
        <v>27</v>
      </c>
      <c r="F457" s="34" t="n">
        <f aca="false">D457*E457</f>
        <v>8073000</v>
      </c>
      <c r="G457" s="33" t="s">
        <v>57</v>
      </c>
      <c r="H457" s="33" t="str">
        <f aca="false">INDEX(Products!$C$2:$C$51,MATCH(C457,Products!$B$2:$B$51,0))</f>
        <v>Dual-Sport</v>
      </c>
    </row>
    <row r="458" customFormat="false" ht="15" hidden="false" customHeight="false" outlineLevel="0" collapsed="false">
      <c r="A458" s="32" t="n">
        <v>45850</v>
      </c>
      <c r="B458" s="33" t="s">
        <v>53</v>
      </c>
      <c r="C458" s="33" t="s">
        <v>68</v>
      </c>
      <c r="D458" s="34" t="n">
        <v>389000</v>
      </c>
      <c r="E458" s="33" t="n">
        <v>6</v>
      </c>
      <c r="F458" s="34" t="n">
        <f aca="false">D458*E458</f>
        <v>2334000</v>
      </c>
      <c r="G458" s="33" t="s">
        <v>57</v>
      </c>
      <c r="H458" s="33" t="str">
        <f aca="false">INDEX(Products!$C$2:$C$51,MATCH(C458,Products!$B$2:$B$51,0))</f>
        <v>Sport</v>
      </c>
    </row>
    <row r="459" customFormat="false" ht="15" hidden="false" customHeight="false" outlineLevel="0" collapsed="false">
      <c r="A459" s="32" t="n">
        <v>45850</v>
      </c>
      <c r="B459" s="33" t="s">
        <v>49</v>
      </c>
      <c r="C459" s="33" t="s">
        <v>124</v>
      </c>
      <c r="D459" s="34" t="n">
        <v>295000</v>
      </c>
      <c r="E459" s="33" t="n">
        <v>43</v>
      </c>
      <c r="F459" s="34" t="n">
        <f aca="false">D459*E459</f>
        <v>12685000</v>
      </c>
      <c r="G459" s="33" t="s">
        <v>57</v>
      </c>
      <c r="H459" s="33" t="str">
        <f aca="false">INDEX(Products!$C$2:$C$51,MATCH(C459,Products!$B$2:$B$51,0))</f>
        <v>Scrambler</v>
      </c>
    </row>
    <row r="460" customFormat="false" ht="15" hidden="false" customHeight="false" outlineLevel="0" collapsed="false">
      <c r="A460" s="32" t="n">
        <v>45850</v>
      </c>
      <c r="B460" s="33" t="s">
        <v>49</v>
      </c>
      <c r="C460" s="33" t="s">
        <v>59</v>
      </c>
      <c r="D460" s="34" t="n">
        <v>165000</v>
      </c>
      <c r="E460" s="33" t="n">
        <v>20</v>
      </c>
      <c r="F460" s="34" t="n">
        <f aca="false">D460*E460</f>
        <v>3300000</v>
      </c>
      <c r="G460" s="33" t="s">
        <v>54</v>
      </c>
      <c r="H460" s="33" t="str">
        <f aca="false">INDEX(Products!$C$2:$C$51,MATCH(C460,Products!$B$2:$B$51,0))</f>
        <v>Sport</v>
      </c>
    </row>
    <row r="461" customFormat="false" ht="15" hidden="false" customHeight="false" outlineLevel="0" collapsed="false">
      <c r="A461" s="32" t="n">
        <v>45850</v>
      </c>
      <c r="B461" s="33" t="s">
        <v>53</v>
      </c>
      <c r="C461" s="33" t="s">
        <v>69</v>
      </c>
      <c r="D461" s="34" t="n">
        <v>164900</v>
      </c>
      <c r="E461" s="33" t="n">
        <v>48</v>
      </c>
      <c r="F461" s="34" t="n">
        <f aca="false">D461*E461</f>
        <v>7915200</v>
      </c>
      <c r="G461" s="33" t="s">
        <v>50</v>
      </c>
      <c r="H461" s="33" t="str">
        <f aca="false">INDEX(Products!$C$2:$C$51,MATCH(C461,Products!$B$2:$B$51,0))</f>
        <v>Scooter</v>
      </c>
    </row>
    <row r="462" customFormat="false" ht="15" hidden="false" customHeight="false" outlineLevel="0" collapsed="false">
      <c r="A462" s="32" t="n">
        <v>45850</v>
      </c>
      <c r="B462" s="33" t="s">
        <v>53</v>
      </c>
      <c r="C462" s="33" t="s">
        <v>116</v>
      </c>
      <c r="D462" s="34" t="n">
        <v>219000</v>
      </c>
      <c r="E462" s="33" t="n">
        <v>10</v>
      </c>
      <c r="F462" s="34" t="n">
        <f aca="false">D462*E462</f>
        <v>2190000</v>
      </c>
      <c r="G462" s="33" t="s">
        <v>57</v>
      </c>
      <c r="H462" s="33" t="str">
        <f aca="false">INDEX(Products!$C$2:$C$51,MATCH(C462,Products!$B$2:$B$51,0))</f>
        <v>Scooter</v>
      </c>
    </row>
    <row r="463" customFormat="false" ht="15" hidden="false" customHeight="false" outlineLevel="0" collapsed="false">
      <c r="A463" s="32" t="n">
        <v>45850</v>
      </c>
      <c r="B463" s="33" t="s">
        <v>53</v>
      </c>
      <c r="C463" s="33" t="s">
        <v>112</v>
      </c>
      <c r="D463" s="34" t="n">
        <v>125000</v>
      </c>
      <c r="E463" s="33" t="n">
        <v>19</v>
      </c>
      <c r="F463" s="34" t="n">
        <f aca="false">D463*E463</f>
        <v>2375000</v>
      </c>
      <c r="G463" s="33" t="s">
        <v>57</v>
      </c>
      <c r="H463" s="33" t="str">
        <f aca="false">INDEX(Products!$C$2:$C$51,MATCH(C463,Products!$B$2:$B$51,0))</f>
        <v>Naked Bike</v>
      </c>
    </row>
    <row r="464" customFormat="false" ht="15" hidden="false" customHeight="false" outlineLevel="0" collapsed="false">
      <c r="A464" s="32" t="n">
        <v>45850</v>
      </c>
      <c r="B464" s="33" t="s">
        <v>53</v>
      </c>
      <c r="C464" s="33" t="s">
        <v>66</v>
      </c>
      <c r="D464" s="34" t="n">
        <v>398000</v>
      </c>
      <c r="E464" s="33" t="n">
        <v>5</v>
      </c>
      <c r="F464" s="34" t="n">
        <f aca="false">D464*E464</f>
        <v>1990000</v>
      </c>
      <c r="G464" s="33" t="s">
        <v>57</v>
      </c>
      <c r="H464" s="33" t="str">
        <f aca="false">INDEX(Products!$C$2:$C$51,MATCH(C464,Products!$B$2:$B$51,0))</f>
        <v>Scooter</v>
      </c>
    </row>
    <row r="465" customFormat="false" ht="15" hidden="false" customHeight="false" outlineLevel="0" collapsed="false">
      <c r="A465" s="32" t="n">
        <v>45850</v>
      </c>
      <c r="B465" s="33" t="s">
        <v>53</v>
      </c>
      <c r="C465" s="33" t="s">
        <v>65</v>
      </c>
      <c r="D465" s="34" t="n">
        <v>345000</v>
      </c>
      <c r="E465" s="33" t="n">
        <v>33</v>
      </c>
      <c r="F465" s="34" t="n">
        <f aca="false">D465*E465</f>
        <v>11385000</v>
      </c>
      <c r="G465" s="33" t="s">
        <v>50</v>
      </c>
      <c r="H465" s="33" t="str">
        <f aca="false">INDEX(Products!$C$2:$C$51,MATCH(C465,Products!$B$2:$B$51,0))</f>
        <v>Touring</v>
      </c>
    </row>
    <row r="466" customFormat="false" ht="15" hidden="false" customHeight="false" outlineLevel="0" collapsed="false">
      <c r="A466" s="32" t="n">
        <v>45850</v>
      </c>
      <c r="B466" s="33" t="s">
        <v>49</v>
      </c>
      <c r="C466" s="33" t="s">
        <v>131</v>
      </c>
      <c r="D466" s="34" t="n">
        <v>72900</v>
      </c>
      <c r="E466" s="33" t="n">
        <v>2</v>
      </c>
      <c r="F466" s="34" t="n">
        <f aca="false">D466*E466</f>
        <v>145800</v>
      </c>
      <c r="G466" s="33" t="s">
        <v>57</v>
      </c>
      <c r="H466" s="33" t="str">
        <f aca="false">INDEX(Products!$C$2:$C$51,MATCH(C466,Products!$B$2:$B$51,0))</f>
        <v>Underbone</v>
      </c>
    </row>
    <row r="467" customFormat="false" ht="15" hidden="false" customHeight="false" outlineLevel="0" collapsed="false">
      <c r="A467" s="32" t="n">
        <v>45850</v>
      </c>
      <c r="B467" s="33" t="s">
        <v>53</v>
      </c>
      <c r="C467" s="33" t="s">
        <v>62</v>
      </c>
      <c r="D467" s="34" t="n">
        <v>650000</v>
      </c>
      <c r="E467" s="33" t="n">
        <v>17</v>
      </c>
      <c r="F467" s="34" t="n">
        <f aca="false">D467*E467</f>
        <v>11050000</v>
      </c>
      <c r="G467" s="33" t="s">
        <v>54</v>
      </c>
      <c r="H467" s="33" t="str">
        <f aca="false">INDEX(Products!$C$2:$C$51,MATCH(C467,Products!$B$2:$B$51,0))</f>
        <v>Cruiser</v>
      </c>
    </row>
    <row r="468" customFormat="false" ht="15" hidden="false" customHeight="false" outlineLevel="0" collapsed="false">
      <c r="A468" s="32" t="n">
        <v>45851</v>
      </c>
      <c r="B468" s="33" t="s">
        <v>53</v>
      </c>
      <c r="C468" s="33" t="s">
        <v>124</v>
      </c>
      <c r="D468" s="34" t="n">
        <v>295000</v>
      </c>
      <c r="E468" s="33" t="n">
        <v>4</v>
      </c>
      <c r="F468" s="34" t="n">
        <f aca="false">D468*E468</f>
        <v>1180000</v>
      </c>
      <c r="G468" s="33" t="s">
        <v>54</v>
      </c>
      <c r="H468" s="33" t="str">
        <f aca="false">INDEX(Products!$C$2:$C$51,MATCH(C468,Products!$B$2:$B$51,0))</f>
        <v>Scrambler</v>
      </c>
    </row>
    <row r="469" customFormat="false" ht="15" hidden="false" customHeight="false" outlineLevel="0" collapsed="false">
      <c r="A469" s="32" t="n">
        <v>45851</v>
      </c>
      <c r="B469" s="33" t="s">
        <v>49</v>
      </c>
      <c r="C469" s="33" t="s">
        <v>59</v>
      </c>
      <c r="D469" s="34" t="n">
        <v>165000</v>
      </c>
      <c r="E469" s="33" t="n">
        <v>18</v>
      </c>
      <c r="F469" s="34" t="n">
        <f aca="false">D469*E469</f>
        <v>2970000</v>
      </c>
      <c r="G469" s="33" t="s">
        <v>57</v>
      </c>
      <c r="H469" s="33" t="str">
        <f aca="false">INDEX(Products!$C$2:$C$51,MATCH(C469,Products!$B$2:$B$51,0))</f>
        <v>Sport</v>
      </c>
    </row>
    <row r="470" customFormat="false" ht="15" hidden="false" customHeight="false" outlineLevel="0" collapsed="false">
      <c r="A470" s="32" t="n">
        <v>45851</v>
      </c>
      <c r="B470" s="33" t="s">
        <v>49</v>
      </c>
      <c r="C470" s="33" t="s">
        <v>113</v>
      </c>
      <c r="D470" s="34" t="n">
        <v>182000</v>
      </c>
      <c r="E470" s="33" t="n">
        <v>12</v>
      </c>
      <c r="F470" s="34" t="n">
        <f aca="false">D470*E470</f>
        <v>2184000</v>
      </c>
      <c r="G470" s="33" t="s">
        <v>54</v>
      </c>
      <c r="H470" s="33" t="str">
        <f aca="false">INDEX(Products!$C$2:$C$51,MATCH(C470,Products!$B$2:$B$51,0))</f>
        <v>Retro</v>
      </c>
    </row>
    <row r="471" customFormat="false" ht="15" hidden="false" customHeight="false" outlineLevel="0" collapsed="false">
      <c r="A471" s="32" t="n">
        <v>45851</v>
      </c>
      <c r="B471" s="33" t="s">
        <v>53</v>
      </c>
      <c r="C471" s="33" t="s">
        <v>128</v>
      </c>
      <c r="D471" s="34" t="n">
        <v>68900</v>
      </c>
      <c r="E471" s="33" t="n">
        <v>14</v>
      </c>
      <c r="F471" s="34" t="n">
        <f aca="false">D471*E471</f>
        <v>964600</v>
      </c>
      <c r="G471" s="33" t="s">
        <v>57</v>
      </c>
      <c r="H471" s="33" t="str">
        <f aca="false">INDEX(Products!$C$2:$C$51,MATCH(C471,Products!$B$2:$B$51,0))</f>
        <v>Standard</v>
      </c>
    </row>
    <row r="472" customFormat="false" ht="15" hidden="false" customHeight="false" outlineLevel="0" collapsed="false">
      <c r="A472" s="32" t="n">
        <v>45851</v>
      </c>
      <c r="B472" s="33" t="s">
        <v>53</v>
      </c>
      <c r="C472" s="33" t="s">
        <v>65</v>
      </c>
      <c r="D472" s="34" t="n">
        <v>345000</v>
      </c>
      <c r="E472" s="33" t="n">
        <v>42</v>
      </c>
      <c r="F472" s="34" t="n">
        <f aca="false">D472*E472</f>
        <v>14490000</v>
      </c>
      <c r="G472" s="33" t="s">
        <v>50</v>
      </c>
      <c r="H472" s="33" t="str">
        <f aca="false">INDEX(Products!$C$2:$C$51,MATCH(C472,Products!$B$2:$B$51,0))</f>
        <v>Touring</v>
      </c>
    </row>
    <row r="473" customFormat="false" ht="15" hidden="false" customHeight="false" outlineLevel="0" collapsed="false">
      <c r="A473" s="32" t="n">
        <v>45852</v>
      </c>
      <c r="B473" s="33" t="s">
        <v>53</v>
      </c>
      <c r="C473" s="33" t="s">
        <v>51</v>
      </c>
      <c r="D473" s="34" t="n">
        <v>689000</v>
      </c>
      <c r="E473" s="33" t="n">
        <v>11</v>
      </c>
      <c r="F473" s="34" t="n">
        <f aca="false">D473*E473</f>
        <v>7579000</v>
      </c>
      <c r="G473" s="33" t="s">
        <v>50</v>
      </c>
      <c r="H473" s="33" t="str">
        <f aca="false">INDEX(Products!$C$2:$C$51,MATCH(C473,Products!$B$2:$B$51,0))</f>
        <v>Heritage</v>
      </c>
    </row>
    <row r="474" customFormat="false" ht="15" hidden="false" customHeight="false" outlineLevel="0" collapsed="false">
      <c r="A474" s="32" t="n">
        <v>45852</v>
      </c>
      <c r="B474" s="33" t="s">
        <v>49</v>
      </c>
      <c r="C474" s="33" t="s">
        <v>109</v>
      </c>
      <c r="D474" s="34" t="n">
        <v>178000</v>
      </c>
      <c r="E474" s="33" t="n">
        <v>11</v>
      </c>
      <c r="F474" s="34" t="n">
        <f aca="false">D474*E474</f>
        <v>1958000</v>
      </c>
      <c r="G474" s="33" t="s">
        <v>50</v>
      </c>
      <c r="H474" s="33" t="str">
        <f aca="false">INDEX(Products!$C$2:$C$51,MATCH(C474,Products!$B$2:$B$51,0))</f>
        <v>Naked Bike</v>
      </c>
    </row>
    <row r="475" customFormat="false" ht="15" hidden="false" customHeight="false" outlineLevel="0" collapsed="false">
      <c r="A475" s="32" t="n">
        <v>45852</v>
      </c>
      <c r="B475" s="33" t="s">
        <v>53</v>
      </c>
      <c r="C475" s="33" t="s">
        <v>127</v>
      </c>
      <c r="D475" s="34" t="n">
        <v>199900</v>
      </c>
      <c r="E475" s="33" t="n">
        <v>7</v>
      </c>
      <c r="F475" s="34" t="n">
        <f aca="false">D475*E475</f>
        <v>1399300</v>
      </c>
      <c r="G475" s="33" t="s">
        <v>54</v>
      </c>
      <c r="H475" s="33" t="str">
        <f aca="false">INDEX(Products!$C$2:$C$51,MATCH(C475,Products!$B$2:$B$51,0))</f>
        <v>Sport Touring</v>
      </c>
    </row>
    <row r="476" customFormat="false" ht="15" hidden="false" customHeight="false" outlineLevel="0" collapsed="false">
      <c r="A476" s="32" t="n">
        <v>45852</v>
      </c>
      <c r="B476" s="33" t="s">
        <v>49</v>
      </c>
      <c r="C476" s="33" t="s">
        <v>118</v>
      </c>
      <c r="D476" s="34" t="n">
        <v>151900</v>
      </c>
      <c r="E476" s="33" t="n">
        <v>5</v>
      </c>
      <c r="F476" s="34" t="n">
        <f aca="false">D476*E476</f>
        <v>759500</v>
      </c>
      <c r="G476" s="33" t="s">
        <v>54</v>
      </c>
      <c r="H476" s="33" t="str">
        <f aca="false">INDEX(Products!$C$2:$C$51,MATCH(C476,Products!$B$2:$B$51,0))</f>
        <v>Scooter</v>
      </c>
    </row>
    <row r="477" customFormat="false" ht="15" hidden="false" customHeight="false" outlineLevel="0" collapsed="false">
      <c r="A477" s="32" t="n">
        <v>45852</v>
      </c>
      <c r="B477" s="33" t="s">
        <v>53</v>
      </c>
      <c r="C477" s="33" t="s">
        <v>126</v>
      </c>
      <c r="D477" s="34" t="n">
        <v>198000</v>
      </c>
      <c r="E477" s="33" t="n">
        <v>5</v>
      </c>
      <c r="F477" s="34" t="n">
        <f aca="false">D477*E477</f>
        <v>990000</v>
      </c>
      <c r="G477" s="33" t="s">
        <v>50</v>
      </c>
      <c r="H477" s="33" t="str">
        <f aca="false">INDEX(Products!$C$2:$C$51,MATCH(C477,Products!$B$2:$B$51,0))</f>
        <v>Sport</v>
      </c>
    </row>
    <row r="478" customFormat="false" ht="15" hidden="false" customHeight="false" outlineLevel="0" collapsed="false">
      <c r="A478" s="32" t="n">
        <v>45852</v>
      </c>
      <c r="B478" s="33" t="s">
        <v>53</v>
      </c>
      <c r="C478" s="33" t="s">
        <v>62</v>
      </c>
      <c r="D478" s="34" t="n">
        <v>650000</v>
      </c>
      <c r="E478" s="33" t="n">
        <v>8</v>
      </c>
      <c r="F478" s="34" t="n">
        <f aca="false">D478*E478</f>
        <v>5200000</v>
      </c>
      <c r="G478" s="33" t="s">
        <v>57</v>
      </c>
      <c r="H478" s="33" t="str">
        <f aca="false">INDEX(Products!$C$2:$C$51,MATCH(C478,Products!$B$2:$B$51,0))</f>
        <v>Cruiser</v>
      </c>
    </row>
    <row r="479" customFormat="false" ht="15" hidden="false" customHeight="false" outlineLevel="0" collapsed="false">
      <c r="A479" s="32" t="n">
        <v>45852</v>
      </c>
      <c r="B479" s="33" t="s">
        <v>49</v>
      </c>
      <c r="C479" s="33" t="s">
        <v>130</v>
      </c>
      <c r="D479" s="34" t="n">
        <v>119900</v>
      </c>
      <c r="E479" s="33" t="n">
        <v>18</v>
      </c>
      <c r="F479" s="34" t="n">
        <f aca="false">D479*E479</f>
        <v>2158200</v>
      </c>
      <c r="G479" s="33" t="s">
        <v>57</v>
      </c>
      <c r="H479" s="33" t="str">
        <f aca="false">INDEX(Products!$C$2:$C$51,MATCH(C479,Products!$B$2:$B$51,0))</f>
        <v>Underbone</v>
      </c>
    </row>
    <row r="480" customFormat="false" ht="15" hidden="false" customHeight="false" outlineLevel="0" collapsed="false">
      <c r="A480" s="32" t="n">
        <v>45852</v>
      </c>
      <c r="B480" s="33" t="s">
        <v>49</v>
      </c>
      <c r="C480" s="33" t="s">
        <v>123</v>
      </c>
      <c r="D480" s="34" t="n">
        <v>79900</v>
      </c>
      <c r="E480" s="33" t="n">
        <v>4</v>
      </c>
      <c r="F480" s="34" t="n">
        <f aca="false">D480*E480</f>
        <v>319600</v>
      </c>
      <c r="G480" s="33" t="s">
        <v>54</v>
      </c>
      <c r="H480" s="33" t="str">
        <f aca="false">INDEX(Products!$C$2:$C$51,MATCH(C480,Products!$B$2:$B$51,0))</f>
        <v>Scooter</v>
      </c>
    </row>
    <row r="481" customFormat="false" ht="15" hidden="false" customHeight="false" outlineLevel="0" collapsed="false">
      <c r="A481" s="32" t="n">
        <v>45852</v>
      </c>
      <c r="B481" s="33" t="s">
        <v>49</v>
      </c>
      <c r="C481" s="33" t="s">
        <v>59</v>
      </c>
      <c r="D481" s="34" t="n">
        <v>165000</v>
      </c>
      <c r="E481" s="33" t="n">
        <v>44</v>
      </c>
      <c r="F481" s="34" t="n">
        <f aca="false">D481*E481</f>
        <v>7260000</v>
      </c>
      <c r="G481" s="33" t="s">
        <v>54</v>
      </c>
      <c r="H481" s="33" t="str">
        <f aca="false">INDEX(Products!$C$2:$C$51,MATCH(C481,Products!$B$2:$B$51,0))</f>
        <v>Sport</v>
      </c>
    </row>
    <row r="482" customFormat="false" ht="15" hidden="false" customHeight="false" outlineLevel="0" collapsed="false">
      <c r="A482" s="32" t="n">
        <v>45852</v>
      </c>
      <c r="B482" s="33" t="s">
        <v>53</v>
      </c>
      <c r="C482" s="33" t="s">
        <v>66</v>
      </c>
      <c r="D482" s="34" t="n">
        <v>398000</v>
      </c>
      <c r="E482" s="33" t="n">
        <v>18</v>
      </c>
      <c r="F482" s="34" t="n">
        <f aca="false">D482*E482</f>
        <v>7164000</v>
      </c>
      <c r="G482" s="33" t="s">
        <v>57</v>
      </c>
      <c r="H482" s="33" t="str">
        <f aca="false">INDEX(Products!$C$2:$C$51,MATCH(C482,Products!$B$2:$B$51,0))</f>
        <v>Scooter</v>
      </c>
    </row>
    <row r="483" customFormat="false" ht="15" hidden="false" customHeight="false" outlineLevel="0" collapsed="false">
      <c r="A483" s="32" t="n">
        <v>45852</v>
      </c>
      <c r="B483" s="33" t="s">
        <v>53</v>
      </c>
      <c r="C483" s="33" t="s">
        <v>120</v>
      </c>
      <c r="D483" s="34" t="n">
        <v>124000</v>
      </c>
      <c r="E483" s="33" t="n">
        <v>11</v>
      </c>
      <c r="F483" s="34" t="n">
        <f aca="false">D483*E483</f>
        <v>1364000</v>
      </c>
      <c r="G483" s="33" t="s">
        <v>57</v>
      </c>
      <c r="H483" s="33" t="str">
        <f aca="false">INDEX(Products!$C$2:$C$51,MATCH(C483,Products!$B$2:$B$51,0))</f>
        <v>Scooter</v>
      </c>
    </row>
    <row r="484" customFormat="false" ht="15" hidden="false" customHeight="false" outlineLevel="0" collapsed="false">
      <c r="A484" s="32" t="n">
        <v>45852</v>
      </c>
      <c r="B484" s="33" t="s">
        <v>49</v>
      </c>
      <c r="C484" s="33" t="s">
        <v>51</v>
      </c>
      <c r="D484" s="34" t="n">
        <v>689000</v>
      </c>
      <c r="E484" s="33" t="n">
        <v>4</v>
      </c>
      <c r="F484" s="34" t="n">
        <f aca="false">D484*E484</f>
        <v>2756000</v>
      </c>
      <c r="G484" s="33" t="s">
        <v>54</v>
      </c>
      <c r="H484" s="33" t="str">
        <f aca="false">INDEX(Products!$C$2:$C$51,MATCH(C484,Products!$B$2:$B$51,0))</f>
        <v>Heritage</v>
      </c>
    </row>
    <row r="485" customFormat="false" ht="15" hidden="false" customHeight="false" outlineLevel="0" collapsed="false">
      <c r="A485" s="32" t="n">
        <v>45853</v>
      </c>
      <c r="B485" s="33" t="s">
        <v>53</v>
      </c>
      <c r="C485" s="33" t="s">
        <v>130</v>
      </c>
      <c r="D485" s="34" t="n">
        <v>119900</v>
      </c>
      <c r="E485" s="33" t="n">
        <v>20</v>
      </c>
      <c r="F485" s="34" t="n">
        <f aca="false">D485*E485</f>
        <v>2398000</v>
      </c>
      <c r="G485" s="33" t="s">
        <v>50</v>
      </c>
      <c r="H485" s="33" t="str">
        <f aca="false">INDEX(Products!$C$2:$C$51,MATCH(C485,Products!$B$2:$B$51,0))</f>
        <v>Underbone</v>
      </c>
    </row>
    <row r="486" customFormat="false" ht="15" hidden="false" customHeight="false" outlineLevel="0" collapsed="false">
      <c r="A486" s="32" t="n">
        <v>45853</v>
      </c>
      <c r="B486" s="33" t="s">
        <v>49</v>
      </c>
      <c r="C486" s="33" t="s">
        <v>112</v>
      </c>
      <c r="D486" s="34" t="n">
        <v>125000</v>
      </c>
      <c r="E486" s="33" t="n">
        <v>24</v>
      </c>
      <c r="F486" s="34" t="n">
        <f aca="false">D486*E486</f>
        <v>3000000</v>
      </c>
      <c r="G486" s="33" t="s">
        <v>57</v>
      </c>
      <c r="H486" s="33" t="str">
        <f aca="false">INDEX(Products!$C$2:$C$51,MATCH(C486,Products!$B$2:$B$51,0))</f>
        <v>Naked Bike</v>
      </c>
    </row>
    <row r="487" customFormat="false" ht="15" hidden="false" customHeight="false" outlineLevel="0" collapsed="false">
      <c r="A487" s="32" t="n">
        <v>45853</v>
      </c>
      <c r="B487" s="33" t="s">
        <v>53</v>
      </c>
      <c r="C487" s="33" t="s">
        <v>111</v>
      </c>
      <c r="D487" s="34" t="n">
        <v>129000</v>
      </c>
      <c r="E487" s="33" t="n">
        <v>12</v>
      </c>
      <c r="F487" s="34" t="n">
        <f aca="false">D487*E487</f>
        <v>1548000</v>
      </c>
      <c r="G487" s="33" t="s">
        <v>57</v>
      </c>
      <c r="H487" s="33" t="str">
        <f aca="false">INDEX(Products!$C$2:$C$51,MATCH(C487,Products!$B$2:$B$51,0))</f>
        <v>Naked Bike</v>
      </c>
    </row>
    <row r="488" customFormat="false" ht="15" hidden="false" customHeight="false" outlineLevel="0" collapsed="false">
      <c r="A488" s="32" t="n">
        <v>45853</v>
      </c>
      <c r="B488" s="33" t="s">
        <v>49</v>
      </c>
      <c r="C488" s="33" t="s">
        <v>113</v>
      </c>
      <c r="D488" s="34" t="n">
        <v>182000</v>
      </c>
      <c r="E488" s="33" t="n">
        <v>20</v>
      </c>
      <c r="F488" s="34" t="n">
        <f aca="false">D488*E488</f>
        <v>3640000</v>
      </c>
      <c r="G488" s="33" t="s">
        <v>50</v>
      </c>
      <c r="H488" s="33" t="str">
        <f aca="false">INDEX(Products!$C$2:$C$51,MATCH(C488,Products!$B$2:$B$51,0))</f>
        <v>Retro</v>
      </c>
    </row>
    <row r="489" customFormat="false" ht="15" hidden="false" customHeight="false" outlineLevel="0" collapsed="false">
      <c r="A489" s="32" t="n">
        <v>45853</v>
      </c>
      <c r="B489" s="33" t="s">
        <v>49</v>
      </c>
      <c r="C489" s="33" t="s">
        <v>67</v>
      </c>
      <c r="D489" s="34" t="n">
        <v>250000</v>
      </c>
      <c r="E489" s="33" t="n">
        <v>23</v>
      </c>
      <c r="F489" s="34" t="n">
        <f aca="false">D489*E489</f>
        <v>5750000</v>
      </c>
      <c r="G489" s="33" t="s">
        <v>50</v>
      </c>
      <c r="H489" s="33" t="str">
        <f aca="false">INDEX(Products!$C$2:$C$51,MATCH(C489,Products!$B$2:$B$51,0))</f>
        <v>Classic</v>
      </c>
    </row>
    <row r="490" customFormat="false" ht="15" hidden="false" customHeight="false" outlineLevel="0" collapsed="false">
      <c r="A490" s="32" t="n">
        <v>45853</v>
      </c>
      <c r="B490" s="33" t="s">
        <v>49</v>
      </c>
      <c r="C490" s="33" t="s">
        <v>115</v>
      </c>
      <c r="D490" s="34" t="n">
        <v>289000</v>
      </c>
      <c r="E490" s="33" t="n">
        <v>26</v>
      </c>
      <c r="F490" s="34" t="n">
        <f aca="false">D490*E490</f>
        <v>7514000</v>
      </c>
      <c r="G490" s="33" t="s">
        <v>57</v>
      </c>
      <c r="H490" s="33" t="str">
        <f aca="false">INDEX(Products!$C$2:$C$51,MATCH(C490,Products!$B$2:$B$51,0))</f>
        <v>Scooter</v>
      </c>
    </row>
    <row r="491" customFormat="false" ht="15" hidden="false" customHeight="false" outlineLevel="0" collapsed="false">
      <c r="A491" s="32" t="n">
        <v>45853</v>
      </c>
      <c r="B491" s="33" t="s">
        <v>53</v>
      </c>
      <c r="C491" s="33" t="s">
        <v>63</v>
      </c>
      <c r="D491" s="34" t="n">
        <v>99900</v>
      </c>
      <c r="E491" s="33" t="n">
        <v>6</v>
      </c>
      <c r="F491" s="34" t="n">
        <f aca="false">D491*E491</f>
        <v>599400</v>
      </c>
      <c r="G491" s="33" t="s">
        <v>50</v>
      </c>
      <c r="H491" s="33" t="str">
        <f aca="false">INDEX(Products!$C$2:$C$51,MATCH(C491,Products!$B$2:$B$51,0))</f>
        <v>Street</v>
      </c>
    </row>
    <row r="492" customFormat="false" ht="15" hidden="false" customHeight="false" outlineLevel="0" collapsed="false">
      <c r="A492" s="32" t="n">
        <v>45853</v>
      </c>
      <c r="B492" s="33" t="s">
        <v>53</v>
      </c>
      <c r="C492" s="33" t="s">
        <v>117</v>
      </c>
      <c r="D492" s="34" t="n">
        <v>210000</v>
      </c>
      <c r="E492" s="33" t="n">
        <v>15</v>
      </c>
      <c r="F492" s="34" t="n">
        <f aca="false">D492*E492</f>
        <v>3150000</v>
      </c>
      <c r="G492" s="33" t="s">
        <v>54</v>
      </c>
      <c r="H492" s="33" t="str">
        <f aca="false">INDEX(Products!$C$2:$C$51,MATCH(C492,Products!$B$2:$B$51,0))</f>
        <v>Scooter</v>
      </c>
    </row>
    <row r="493" customFormat="false" ht="15" hidden="false" customHeight="false" outlineLevel="0" collapsed="false">
      <c r="A493" s="32" t="n">
        <v>45853</v>
      </c>
      <c r="B493" s="33" t="s">
        <v>49</v>
      </c>
      <c r="C493" s="33" t="s">
        <v>52</v>
      </c>
      <c r="D493" s="34" t="n">
        <v>398000</v>
      </c>
      <c r="E493" s="33" t="n">
        <v>37</v>
      </c>
      <c r="F493" s="34" t="n">
        <f aca="false">D493*E493</f>
        <v>14726000</v>
      </c>
      <c r="G493" s="33" t="s">
        <v>57</v>
      </c>
      <c r="H493" s="33" t="str">
        <f aca="false">INDEX(Products!$C$2:$C$51,MATCH(C493,Products!$B$2:$B$51,0))</f>
        <v>Cruiser</v>
      </c>
    </row>
    <row r="494" customFormat="false" ht="15" hidden="false" customHeight="false" outlineLevel="0" collapsed="false">
      <c r="A494" s="32" t="n">
        <v>45853</v>
      </c>
      <c r="B494" s="33" t="s">
        <v>49</v>
      </c>
      <c r="C494" s="33" t="s">
        <v>112</v>
      </c>
      <c r="D494" s="34" t="n">
        <v>125000</v>
      </c>
      <c r="E494" s="33" t="n">
        <v>19</v>
      </c>
      <c r="F494" s="34" t="n">
        <f aca="false">D494*E494</f>
        <v>2375000</v>
      </c>
      <c r="G494" s="33" t="s">
        <v>54</v>
      </c>
      <c r="H494" s="33" t="str">
        <f aca="false">INDEX(Products!$C$2:$C$51,MATCH(C494,Products!$B$2:$B$51,0))</f>
        <v>Naked Bike</v>
      </c>
    </row>
    <row r="495" customFormat="false" ht="15" hidden="false" customHeight="false" outlineLevel="0" collapsed="false">
      <c r="A495" s="32" t="n">
        <v>45854</v>
      </c>
      <c r="B495" s="33" t="s">
        <v>53</v>
      </c>
      <c r="C495" s="33" t="s">
        <v>61</v>
      </c>
      <c r="D495" s="34" t="n">
        <v>299000</v>
      </c>
      <c r="E495" s="33" t="n">
        <v>8</v>
      </c>
      <c r="F495" s="34" t="n">
        <f aca="false">D495*E495</f>
        <v>2392000</v>
      </c>
      <c r="G495" s="33" t="s">
        <v>50</v>
      </c>
      <c r="H495" s="33" t="str">
        <f aca="false">INDEX(Products!$C$2:$C$51,MATCH(C495,Products!$B$2:$B$51,0))</f>
        <v>Dual-Sport</v>
      </c>
    </row>
    <row r="496" customFormat="false" ht="15" hidden="false" customHeight="false" outlineLevel="0" collapsed="false">
      <c r="A496" s="32" t="n">
        <v>45854</v>
      </c>
      <c r="B496" s="33" t="s">
        <v>49</v>
      </c>
      <c r="C496" s="33" t="s">
        <v>130</v>
      </c>
      <c r="D496" s="34" t="n">
        <v>119900</v>
      </c>
      <c r="E496" s="33" t="n">
        <v>4</v>
      </c>
      <c r="F496" s="34" t="n">
        <f aca="false">D496*E496</f>
        <v>479600</v>
      </c>
      <c r="G496" s="33" t="s">
        <v>50</v>
      </c>
      <c r="H496" s="33" t="str">
        <f aca="false">INDEX(Products!$C$2:$C$51,MATCH(C496,Products!$B$2:$B$51,0))</f>
        <v>Underbone</v>
      </c>
    </row>
    <row r="497" customFormat="false" ht="15" hidden="false" customHeight="false" outlineLevel="0" collapsed="false">
      <c r="A497" s="32" t="n">
        <v>45854</v>
      </c>
      <c r="B497" s="33" t="s">
        <v>53</v>
      </c>
      <c r="C497" s="33" t="s">
        <v>121</v>
      </c>
      <c r="D497" s="34" t="n">
        <v>80900</v>
      </c>
      <c r="E497" s="33" t="n">
        <v>16</v>
      </c>
      <c r="F497" s="34" t="n">
        <f aca="false">D497*E497</f>
        <v>1294400</v>
      </c>
      <c r="G497" s="33" t="s">
        <v>57</v>
      </c>
      <c r="H497" s="33" t="str">
        <f aca="false">INDEX(Products!$C$2:$C$51,MATCH(C497,Products!$B$2:$B$51,0))</f>
        <v>Scooter</v>
      </c>
    </row>
    <row r="498" customFormat="false" ht="15" hidden="false" customHeight="false" outlineLevel="0" collapsed="false">
      <c r="A498" s="32" t="n">
        <v>45854</v>
      </c>
      <c r="B498" s="33" t="s">
        <v>53</v>
      </c>
      <c r="C498" s="33" t="s">
        <v>130</v>
      </c>
      <c r="D498" s="34" t="n">
        <v>119900</v>
      </c>
      <c r="E498" s="33" t="n">
        <v>16</v>
      </c>
      <c r="F498" s="34" t="n">
        <f aca="false">D498*E498</f>
        <v>1918400</v>
      </c>
      <c r="G498" s="33" t="s">
        <v>54</v>
      </c>
      <c r="H498" s="33" t="str">
        <f aca="false">INDEX(Products!$C$2:$C$51,MATCH(C498,Products!$B$2:$B$51,0))</f>
        <v>Underbone</v>
      </c>
    </row>
    <row r="499" customFormat="false" ht="15" hidden="false" customHeight="false" outlineLevel="0" collapsed="false">
      <c r="A499" s="32" t="n">
        <v>45854</v>
      </c>
      <c r="B499" s="33" t="s">
        <v>49</v>
      </c>
      <c r="C499" s="33" t="s">
        <v>122</v>
      </c>
      <c r="D499" s="34" t="n">
        <v>80900</v>
      </c>
      <c r="E499" s="33" t="n">
        <v>12</v>
      </c>
      <c r="F499" s="34" t="n">
        <f aca="false">D499*E499</f>
        <v>970800</v>
      </c>
      <c r="G499" s="33" t="s">
        <v>50</v>
      </c>
      <c r="H499" s="33" t="str">
        <f aca="false">INDEX(Products!$C$2:$C$51,MATCH(C499,Products!$B$2:$B$51,0))</f>
        <v>Scooter</v>
      </c>
    </row>
    <row r="500" customFormat="false" ht="15" hidden="false" customHeight="false" outlineLevel="0" collapsed="false">
      <c r="A500" s="32" t="n">
        <v>45854</v>
      </c>
      <c r="B500" s="33" t="s">
        <v>53</v>
      </c>
      <c r="C500" s="33" t="s">
        <v>102</v>
      </c>
      <c r="D500" s="34" t="n">
        <v>269000</v>
      </c>
      <c r="E500" s="33" t="n">
        <v>5</v>
      </c>
      <c r="F500" s="34" t="n">
        <f aca="false">D500*E500</f>
        <v>1345000</v>
      </c>
      <c r="G500" s="33" t="s">
        <v>50</v>
      </c>
      <c r="H500" s="33" t="str">
        <f aca="false">INDEX(Products!$C$2:$C$51,MATCH(C500,Products!$B$2:$B$51,0))</f>
        <v>Cafe Racer</v>
      </c>
    </row>
    <row r="501" customFormat="false" ht="15" hidden="false" customHeight="false" outlineLevel="0" collapsed="false">
      <c r="A501" s="32" t="n">
        <v>45854</v>
      </c>
      <c r="B501" s="33" t="s">
        <v>53</v>
      </c>
      <c r="C501" s="33" t="s">
        <v>62</v>
      </c>
      <c r="D501" s="34" t="n">
        <v>650000</v>
      </c>
      <c r="E501" s="33" t="n">
        <v>8</v>
      </c>
      <c r="F501" s="34" t="n">
        <f aca="false">D501*E501</f>
        <v>5200000</v>
      </c>
      <c r="G501" s="33" t="s">
        <v>50</v>
      </c>
      <c r="H501" s="33" t="str">
        <f aca="false">INDEX(Products!$C$2:$C$51,MATCH(C501,Products!$B$2:$B$51,0))</f>
        <v>Cruiser</v>
      </c>
    </row>
    <row r="502" customFormat="false" ht="15" hidden="false" customHeight="false" outlineLevel="0" collapsed="false">
      <c r="A502" s="32" t="n">
        <v>45855</v>
      </c>
      <c r="B502" s="33" t="s">
        <v>49</v>
      </c>
      <c r="C502" s="33" t="s">
        <v>99</v>
      </c>
      <c r="D502" s="34" t="n">
        <v>369000</v>
      </c>
      <c r="E502" s="33" t="n">
        <v>13</v>
      </c>
      <c r="F502" s="34" t="n">
        <f aca="false">D502*E502</f>
        <v>4797000</v>
      </c>
      <c r="G502" s="33" t="s">
        <v>57</v>
      </c>
      <c r="H502" s="33" t="str">
        <f aca="false">INDEX(Products!$C$2:$C$51,MATCH(C502,Products!$B$2:$B$51,0))</f>
        <v>Adventure</v>
      </c>
    </row>
    <row r="503" customFormat="false" ht="15" hidden="false" customHeight="false" outlineLevel="0" collapsed="false">
      <c r="A503" s="32" t="n">
        <v>45855</v>
      </c>
      <c r="B503" s="33" t="s">
        <v>53</v>
      </c>
      <c r="C503" s="33" t="s">
        <v>102</v>
      </c>
      <c r="D503" s="34" t="n">
        <v>269000</v>
      </c>
      <c r="E503" s="33" t="n">
        <v>4</v>
      </c>
      <c r="F503" s="34" t="n">
        <f aca="false">D503*E503</f>
        <v>1076000</v>
      </c>
      <c r="G503" s="33" t="s">
        <v>54</v>
      </c>
      <c r="H503" s="33" t="str">
        <f aca="false">INDEX(Products!$C$2:$C$51,MATCH(C503,Products!$B$2:$B$51,0))</f>
        <v>Cafe Racer</v>
      </c>
    </row>
    <row r="504" customFormat="false" ht="15" hidden="false" customHeight="false" outlineLevel="0" collapsed="false">
      <c r="A504" s="32" t="n">
        <v>45855</v>
      </c>
      <c r="B504" s="33" t="s">
        <v>53</v>
      </c>
      <c r="C504" s="33" t="s">
        <v>124</v>
      </c>
      <c r="D504" s="34" t="n">
        <v>295000</v>
      </c>
      <c r="E504" s="33" t="n">
        <v>4</v>
      </c>
      <c r="F504" s="34" t="n">
        <f aca="false">D504*E504</f>
        <v>1180000</v>
      </c>
      <c r="G504" s="33" t="s">
        <v>50</v>
      </c>
      <c r="H504" s="33" t="str">
        <f aca="false">INDEX(Products!$C$2:$C$51,MATCH(C504,Products!$B$2:$B$51,0))</f>
        <v>Scrambler</v>
      </c>
    </row>
    <row r="505" customFormat="false" ht="15" hidden="false" customHeight="false" outlineLevel="0" collapsed="false">
      <c r="A505" s="32" t="n">
        <v>45855</v>
      </c>
      <c r="B505" s="33" t="s">
        <v>53</v>
      </c>
      <c r="C505" s="33" t="s">
        <v>103</v>
      </c>
      <c r="D505" s="34" t="n">
        <v>48000</v>
      </c>
      <c r="E505" s="33" t="n">
        <v>50</v>
      </c>
      <c r="F505" s="34" t="n">
        <f aca="false">D505*E505</f>
        <v>2400000</v>
      </c>
      <c r="G505" s="33" t="s">
        <v>54</v>
      </c>
      <c r="H505" s="33" t="str">
        <f aca="false">INDEX(Products!$C$2:$C$51,MATCH(C505,Products!$B$2:$B$51,0))</f>
        <v>Commuter</v>
      </c>
    </row>
    <row r="506" customFormat="false" ht="15" hidden="false" customHeight="false" outlineLevel="0" collapsed="false">
      <c r="A506" s="32" t="n">
        <v>45855</v>
      </c>
      <c r="B506" s="33" t="s">
        <v>53</v>
      </c>
      <c r="C506" s="33" t="s">
        <v>59</v>
      </c>
      <c r="D506" s="34" t="n">
        <v>165000</v>
      </c>
      <c r="E506" s="33" t="n">
        <v>37</v>
      </c>
      <c r="F506" s="34" t="n">
        <f aca="false">D506*E506</f>
        <v>6105000</v>
      </c>
      <c r="G506" s="33" t="s">
        <v>54</v>
      </c>
      <c r="H506" s="33" t="str">
        <f aca="false">INDEX(Products!$C$2:$C$51,MATCH(C506,Products!$B$2:$B$51,0))</f>
        <v>Sport</v>
      </c>
    </row>
    <row r="507" customFormat="false" ht="15" hidden="false" customHeight="false" outlineLevel="0" collapsed="false">
      <c r="A507" s="32" t="n">
        <v>45855</v>
      </c>
      <c r="B507" s="33" t="s">
        <v>49</v>
      </c>
      <c r="C507" s="33" t="s">
        <v>128</v>
      </c>
      <c r="D507" s="34" t="n">
        <v>68900</v>
      </c>
      <c r="E507" s="33" t="n">
        <v>40</v>
      </c>
      <c r="F507" s="34" t="n">
        <f aca="false">D507*E507</f>
        <v>2756000</v>
      </c>
      <c r="G507" s="33" t="s">
        <v>57</v>
      </c>
      <c r="H507" s="33" t="str">
        <f aca="false">INDEX(Products!$C$2:$C$51,MATCH(C507,Products!$B$2:$B$51,0))</f>
        <v>Standard</v>
      </c>
    </row>
    <row r="508" customFormat="false" ht="15" hidden="false" customHeight="false" outlineLevel="0" collapsed="false">
      <c r="A508" s="32" t="n">
        <v>45855</v>
      </c>
      <c r="B508" s="33" t="s">
        <v>53</v>
      </c>
      <c r="C508" s="33" t="s">
        <v>69</v>
      </c>
      <c r="D508" s="34" t="n">
        <v>164900</v>
      </c>
      <c r="E508" s="33" t="n">
        <v>31</v>
      </c>
      <c r="F508" s="34" t="n">
        <f aca="false">D508*E508</f>
        <v>5111900</v>
      </c>
      <c r="G508" s="33" t="s">
        <v>50</v>
      </c>
      <c r="H508" s="33" t="str">
        <f aca="false">INDEX(Products!$C$2:$C$51,MATCH(C508,Products!$B$2:$B$51,0))</f>
        <v>Scooter</v>
      </c>
    </row>
    <row r="509" customFormat="false" ht="15" hidden="false" customHeight="false" outlineLevel="0" collapsed="false">
      <c r="A509" s="32" t="n">
        <v>45855</v>
      </c>
      <c r="B509" s="33" t="s">
        <v>53</v>
      </c>
      <c r="C509" s="33" t="s">
        <v>106</v>
      </c>
      <c r="D509" s="34" t="n">
        <v>284900</v>
      </c>
      <c r="E509" s="33" t="n">
        <v>11</v>
      </c>
      <c r="F509" s="34" t="n">
        <f aca="false">D509*E509</f>
        <v>3133900</v>
      </c>
      <c r="G509" s="33" t="s">
        <v>57</v>
      </c>
      <c r="H509" s="33" t="str">
        <f aca="false">INDEX(Products!$C$2:$C$51,MATCH(C509,Products!$B$2:$B$51,0))</f>
        <v>Dual-Sport</v>
      </c>
    </row>
    <row r="510" customFormat="false" ht="15" hidden="false" customHeight="false" outlineLevel="0" collapsed="false">
      <c r="A510" s="32" t="n">
        <v>45855</v>
      </c>
      <c r="B510" s="33" t="s">
        <v>49</v>
      </c>
      <c r="C510" s="33" t="s">
        <v>102</v>
      </c>
      <c r="D510" s="34" t="n">
        <v>269000</v>
      </c>
      <c r="E510" s="33" t="n">
        <v>27</v>
      </c>
      <c r="F510" s="34" t="n">
        <f aca="false">D510*E510</f>
        <v>7263000</v>
      </c>
      <c r="G510" s="33" t="s">
        <v>54</v>
      </c>
      <c r="H510" s="33" t="str">
        <f aca="false">INDEX(Products!$C$2:$C$51,MATCH(C510,Products!$B$2:$B$51,0))</f>
        <v>Cafe Racer</v>
      </c>
    </row>
    <row r="511" customFormat="false" ht="15" hidden="false" customHeight="false" outlineLevel="0" collapsed="false">
      <c r="A511" s="32" t="n">
        <v>45855</v>
      </c>
      <c r="B511" s="33" t="s">
        <v>49</v>
      </c>
      <c r="C511" s="33" t="s">
        <v>51</v>
      </c>
      <c r="D511" s="34" t="n">
        <v>689000</v>
      </c>
      <c r="E511" s="33" t="n">
        <v>7</v>
      </c>
      <c r="F511" s="34" t="n">
        <f aca="false">D511*E511</f>
        <v>4823000</v>
      </c>
      <c r="G511" s="33" t="s">
        <v>57</v>
      </c>
      <c r="H511" s="33" t="str">
        <f aca="false">INDEX(Products!$C$2:$C$51,MATCH(C511,Products!$B$2:$B$51,0))</f>
        <v>Heritage</v>
      </c>
    </row>
    <row r="512" customFormat="false" ht="15" hidden="false" customHeight="false" outlineLevel="0" collapsed="false">
      <c r="A512" s="32" t="n">
        <v>45855</v>
      </c>
      <c r="B512" s="33" t="s">
        <v>49</v>
      </c>
      <c r="C512" s="33" t="s">
        <v>104</v>
      </c>
      <c r="D512" s="34" t="n">
        <v>499000</v>
      </c>
      <c r="E512" s="33" t="n">
        <v>12</v>
      </c>
      <c r="F512" s="34" t="n">
        <f aca="false">D512*E512</f>
        <v>5988000</v>
      </c>
      <c r="G512" s="33" t="s">
        <v>50</v>
      </c>
      <c r="H512" s="33" t="str">
        <f aca="false">INDEX(Products!$C$2:$C$51,MATCH(C512,Products!$B$2:$B$51,0))</f>
        <v>Cruiser</v>
      </c>
    </row>
    <row r="513" customFormat="false" ht="15" hidden="false" customHeight="false" outlineLevel="0" collapsed="false">
      <c r="A513" s="32" t="n">
        <v>45855</v>
      </c>
      <c r="B513" s="33" t="s">
        <v>49</v>
      </c>
      <c r="C513" s="33" t="s">
        <v>124</v>
      </c>
      <c r="D513" s="34" t="n">
        <v>295000</v>
      </c>
      <c r="E513" s="33" t="n">
        <v>6</v>
      </c>
      <c r="F513" s="34" t="n">
        <f aca="false">D513*E513</f>
        <v>1770000</v>
      </c>
      <c r="G513" s="33" t="s">
        <v>50</v>
      </c>
      <c r="H513" s="33" t="str">
        <f aca="false">INDEX(Products!$C$2:$C$51,MATCH(C513,Products!$B$2:$B$51,0))</f>
        <v>Scrambler</v>
      </c>
    </row>
    <row r="514" customFormat="false" ht="15" hidden="false" customHeight="false" outlineLevel="0" collapsed="false">
      <c r="A514" s="32" t="n">
        <v>45855</v>
      </c>
      <c r="B514" s="33" t="s">
        <v>53</v>
      </c>
      <c r="C514" s="33" t="s">
        <v>58</v>
      </c>
      <c r="D514" s="34" t="n">
        <v>995000</v>
      </c>
      <c r="E514" s="33" t="n">
        <v>26</v>
      </c>
      <c r="F514" s="34" t="n">
        <f aca="false">D514*E514</f>
        <v>25870000</v>
      </c>
      <c r="G514" s="33" t="s">
        <v>50</v>
      </c>
      <c r="H514" s="33" t="str">
        <f aca="false">INDEX(Products!$C$2:$C$51,MATCH(C514,Products!$B$2:$B$51,0))</f>
        <v>Heritage</v>
      </c>
    </row>
    <row r="515" customFormat="false" ht="15" hidden="false" customHeight="false" outlineLevel="0" collapsed="false">
      <c r="A515" s="32" t="n">
        <v>45856</v>
      </c>
      <c r="B515" s="33" t="s">
        <v>53</v>
      </c>
      <c r="C515" s="33" t="s">
        <v>105</v>
      </c>
      <c r="D515" s="34" t="n">
        <v>349000</v>
      </c>
      <c r="E515" s="33" t="n">
        <v>18</v>
      </c>
      <c r="F515" s="34" t="n">
        <f aca="false">D515*E515</f>
        <v>6282000</v>
      </c>
      <c r="G515" s="33" t="s">
        <v>50</v>
      </c>
      <c r="H515" s="33" t="str">
        <f aca="false">INDEX(Products!$C$2:$C$51,MATCH(C515,Products!$B$2:$B$51,0))</f>
        <v>Cruiser</v>
      </c>
    </row>
    <row r="516" customFormat="false" ht="15" hidden="false" customHeight="false" outlineLevel="0" collapsed="false">
      <c r="A516" s="32" t="n">
        <v>45856</v>
      </c>
      <c r="B516" s="33" t="s">
        <v>49</v>
      </c>
      <c r="C516" s="33" t="s">
        <v>112</v>
      </c>
      <c r="D516" s="34" t="n">
        <v>125000</v>
      </c>
      <c r="E516" s="33" t="n">
        <v>5</v>
      </c>
      <c r="F516" s="34" t="n">
        <f aca="false">D516*E516</f>
        <v>625000</v>
      </c>
      <c r="G516" s="33" t="s">
        <v>54</v>
      </c>
      <c r="H516" s="33" t="str">
        <f aca="false">INDEX(Products!$C$2:$C$51,MATCH(C516,Products!$B$2:$B$51,0))</f>
        <v>Naked Bike</v>
      </c>
    </row>
    <row r="517" customFormat="false" ht="15" hidden="false" customHeight="false" outlineLevel="0" collapsed="false">
      <c r="A517" s="32" t="n">
        <v>45856</v>
      </c>
      <c r="B517" s="33" t="s">
        <v>49</v>
      </c>
      <c r="C517" s="33" t="s">
        <v>66</v>
      </c>
      <c r="D517" s="34" t="n">
        <v>398000</v>
      </c>
      <c r="E517" s="33" t="n">
        <v>19</v>
      </c>
      <c r="F517" s="34" t="n">
        <f aca="false">D517*E517</f>
        <v>7562000</v>
      </c>
      <c r="G517" s="33" t="s">
        <v>50</v>
      </c>
      <c r="H517" s="33" t="str">
        <f aca="false">INDEX(Products!$C$2:$C$51,MATCH(C517,Products!$B$2:$B$51,0))</f>
        <v>Scooter</v>
      </c>
    </row>
    <row r="518" customFormat="false" ht="15" hidden="false" customHeight="false" outlineLevel="0" collapsed="false">
      <c r="A518" s="32" t="n">
        <v>45856</v>
      </c>
      <c r="B518" s="33" t="s">
        <v>49</v>
      </c>
      <c r="C518" s="33" t="s">
        <v>63</v>
      </c>
      <c r="D518" s="34" t="n">
        <v>99900</v>
      </c>
      <c r="E518" s="33" t="n">
        <v>29</v>
      </c>
      <c r="F518" s="34" t="n">
        <f aca="false">D518*E518</f>
        <v>2897100</v>
      </c>
      <c r="G518" s="33" t="s">
        <v>57</v>
      </c>
      <c r="H518" s="33" t="str">
        <f aca="false">INDEX(Products!$C$2:$C$51,MATCH(C518,Products!$B$2:$B$51,0))</f>
        <v>Street</v>
      </c>
    </row>
    <row r="519" customFormat="false" ht="15" hidden="false" customHeight="false" outlineLevel="0" collapsed="false">
      <c r="A519" s="32" t="n">
        <v>45856</v>
      </c>
      <c r="B519" s="33" t="s">
        <v>53</v>
      </c>
      <c r="C519" s="33" t="s">
        <v>63</v>
      </c>
      <c r="D519" s="34" t="n">
        <v>99900</v>
      </c>
      <c r="E519" s="33" t="n">
        <v>5</v>
      </c>
      <c r="F519" s="34" t="n">
        <f aca="false">D519*E519</f>
        <v>499500</v>
      </c>
      <c r="G519" s="33" t="s">
        <v>57</v>
      </c>
      <c r="H519" s="33" t="str">
        <f aca="false">INDEX(Products!$C$2:$C$51,MATCH(C519,Products!$B$2:$B$51,0))</f>
        <v>Street</v>
      </c>
    </row>
    <row r="520" customFormat="false" ht="15" hidden="false" customHeight="false" outlineLevel="0" collapsed="false">
      <c r="A520" s="32" t="n">
        <v>45856</v>
      </c>
      <c r="B520" s="33" t="s">
        <v>49</v>
      </c>
      <c r="C520" s="33" t="s">
        <v>71</v>
      </c>
      <c r="D520" s="34" t="n">
        <v>165000</v>
      </c>
      <c r="E520" s="33" t="n">
        <v>12</v>
      </c>
      <c r="F520" s="34" t="n">
        <f aca="false">D520*E520</f>
        <v>1980000</v>
      </c>
      <c r="G520" s="33" t="s">
        <v>50</v>
      </c>
      <c r="H520" s="33" t="str">
        <f aca="false">INDEX(Products!$C$2:$C$51,MATCH(C520,Products!$B$2:$B$51,0))</f>
        <v>Naked Bike</v>
      </c>
    </row>
    <row r="521" customFormat="false" ht="15" hidden="false" customHeight="false" outlineLevel="0" collapsed="false">
      <c r="A521" s="32" t="n">
        <v>45856</v>
      </c>
      <c r="B521" s="33" t="s">
        <v>53</v>
      </c>
      <c r="C521" s="33" t="s">
        <v>109</v>
      </c>
      <c r="D521" s="34" t="n">
        <v>178000</v>
      </c>
      <c r="E521" s="33" t="n">
        <v>14</v>
      </c>
      <c r="F521" s="34" t="n">
        <f aca="false">D521*E521</f>
        <v>2492000</v>
      </c>
      <c r="G521" s="33" t="s">
        <v>57</v>
      </c>
      <c r="H521" s="33" t="str">
        <f aca="false">INDEX(Products!$C$2:$C$51,MATCH(C521,Products!$B$2:$B$51,0))</f>
        <v>Naked Bike</v>
      </c>
    </row>
    <row r="522" customFormat="false" ht="15" hidden="false" customHeight="false" outlineLevel="0" collapsed="false">
      <c r="A522" s="32" t="n">
        <v>45856</v>
      </c>
      <c r="B522" s="33" t="s">
        <v>53</v>
      </c>
      <c r="C522" s="33" t="s">
        <v>58</v>
      </c>
      <c r="D522" s="34" t="n">
        <v>995000</v>
      </c>
      <c r="E522" s="33" t="n">
        <v>24</v>
      </c>
      <c r="F522" s="34" t="n">
        <f aca="false">D522*E522</f>
        <v>23880000</v>
      </c>
      <c r="G522" s="33" t="s">
        <v>50</v>
      </c>
      <c r="H522" s="33" t="str">
        <f aca="false">INDEX(Products!$C$2:$C$51,MATCH(C522,Products!$B$2:$B$51,0))</f>
        <v>Heritage</v>
      </c>
    </row>
    <row r="523" customFormat="false" ht="15" hidden="false" customHeight="false" outlineLevel="0" collapsed="false">
      <c r="A523" s="32" t="n">
        <v>45856</v>
      </c>
      <c r="B523" s="33" t="s">
        <v>49</v>
      </c>
      <c r="C523" s="33" t="s">
        <v>61</v>
      </c>
      <c r="D523" s="34" t="n">
        <v>299000</v>
      </c>
      <c r="E523" s="33" t="n">
        <v>31</v>
      </c>
      <c r="F523" s="34" t="n">
        <f aca="false">D523*E523</f>
        <v>9269000</v>
      </c>
      <c r="G523" s="33" t="s">
        <v>54</v>
      </c>
      <c r="H523" s="33" t="str">
        <f aca="false">INDEX(Products!$C$2:$C$51,MATCH(C523,Products!$B$2:$B$51,0))</f>
        <v>Dual-Sport</v>
      </c>
    </row>
    <row r="524" customFormat="false" ht="15" hidden="false" customHeight="false" outlineLevel="0" collapsed="false">
      <c r="A524" s="32" t="n">
        <v>45856</v>
      </c>
      <c r="B524" s="33" t="s">
        <v>49</v>
      </c>
      <c r="C524" s="33" t="s">
        <v>107</v>
      </c>
      <c r="D524" s="34" t="n">
        <v>199000</v>
      </c>
      <c r="E524" s="33" t="n">
        <v>20</v>
      </c>
      <c r="F524" s="34" t="n">
        <f aca="false">D524*E524</f>
        <v>3980000</v>
      </c>
      <c r="G524" s="33" t="s">
        <v>50</v>
      </c>
      <c r="H524" s="33" t="str">
        <f aca="false">INDEX(Products!$C$2:$C$51,MATCH(C524,Products!$B$2:$B$51,0))</f>
        <v>Dual-Sport</v>
      </c>
    </row>
    <row r="525" customFormat="false" ht="15" hidden="false" customHeight="false" outlineLevel="0" collapsed="false">
      <c r="A525" s="32" t="n">
        <v>45856</v>
      </c>
      <c r="B525" s="33" t="s">
        <v>53</v>
      </c>
      <c r="C525" s="33" t="s">
        <v>107</v>
      </c>
      <c r="D525" s="34" t="n">
        <v>199000</v>
      </c>
      <c r="E525" s="33" t="n">
        <v>1</v>
      </c>
      <c r="F525" s="34" t="n">
        <f aca="false">D525*E525</f>
        <v>199000</v>
      </c>
      <c r="G525" s="33" t="s">
        <v>50</v>
      </c>
      <c r="H525" s="33" t="str">
        <f aca="false">INDEX(Products!$C$2:$C$51,MATCH(C525,Products!$B$2:$B$51,0))</f>
        <v>Dual-Sport</v>
      </c>
    </row>
    <row r="526" customFormat="false" ht="15" hidden="false" customHeight="false" outlineLevel="0" collapsed="false">
      <c r="A526" s="32" t="n">
        <v>45857</v>
      </c>
      <c r="B526" s="33" t="s">
        <v>49</v>
      </c>
      <c r="C526" s="33" t="s">
        <v>103</v>
      </c>
      <c r="D526" s="34" t="n">
        <v>48000</v>
      </c>
      <c r="E526" s="33" t="n">
        <v>10</v>
      </c>
      <c r="F526" s="34" t="n">
        <f aca="false">D526*E526</f>
        <v>480000</v>
      </c>
      <c r="G526" s="33" t="s">
        <v>54</v>
      </c>
      <c r="H526" s="33" t="str">
        <f aca="false">INDEX(Products!$C$2:$C$51,MATCH(C526,Products!$B$2:$B$51,0))</f>
        <v>Commuter</v>
      </c>
    </row>
    <row r="527" customFormat="false" ht="15" hidden="false" customHeight="false" outlineLevel="0" collapsed="false">
      <c r="A527" s="32" t="n">
        <v>45857</v>
      </c>
      <c r="B527" s="33" t="s">
        <v>53</v>
      </c>
      <c r="C527" s="33" t="s">
        <v>115</v>
      </c>
      <c r="D527" s="34" t="n">
        <v>289000</v>
      </c>
      <c r="E527" s="33" t="n">
        <v>5</v>
      </c>
      <c r="F527" s="34" t="n">
        <f aca="false">D527*E527</f>
        <v>1445000</v>
      </c>
      <c r="G527" s="33" t="s">
        <v>57</v>
      </c>
      <c r="H527" s="33" t="str">
        <f aca="false">INDEX(Products!$C$2:$C$51,MATCH(C527,Products!$B$2:$B$51,0))</f>
        <v>Scooter</v>
      </c>
    </row>
    <row r="528" customFormat="false" ht="15" hidden="false" customHeight="false" outlineLevel="0" collapsed="false">
      <c r="A528" s="32" t="n">
        <v>45857</v>
      </c>
      <c r="B528" s="33" t="s">
        <v>53</v>
      </c>
      <c r="C528" s="33" t="s">
        <v>63</v>
      </c>
      <c r="D528" s="34" t="n">
        <v>99900</v>
      </c>
      <c r="E528" s="33" t="n">
        <v>17</v>
      </c>
      <c r="F528" s="34" t="n">
        <f aca="false">D528*E528</f>
        <v>1698300</v>
      </c>
      <c r="G528" s="33" t="s">
        <v>50</v>
      </c>
      <c r="H528" s="33" t="str">
        <f aca="false">INDEX(Products!$C$2:$C$51,MATCH(C528,Products!$B$2:$B$51,0))</f>
        <v>Street</v>
      </c>
    </row>
    <row r="529" customFormat="false" ht="15" hidden="false" customHeight="false" outlineLevel="0" collapsed="false">
      <c r="A529" s="32" t="n">
        <v>45857</v>
      </c>
      <c r="B529" s="33" t="s">
        <v>53</v>
      </c>
      <c r="C529" s="33" t="s">
        <v>127</v>
      </c>
      <c r="D529" s="34" t="n">
        <v>199900</v>
      </c>
      <c r="E529" s="33" t="n">
        <v>15</v>
      </c>
      <c r="F529" s="34" t="n">
        <f aca="false">D529*E529</f>
        <v>2998500</v>
      </c>
      <c r="G529" s="33" t="s">
        <v>57</v>
      </c>
      <c r="H529" s="33" t="str">
        <f aca="false">INDEX(Products!$C$2:$C$51,MATCH(C529,Products!$B$2:$B$51,0))</f>
        <v>Sport Touring</v>
      </c>
    </row>
    <row r="530" customFormat="false" ht="15" hidden="false" customHeight="false" outlineLevel="0" collapsed="false">
      <c r="A530" s="32" t="n">
        <v>45857</v>
      </c>
      <c r="B530" s="33" t="s">
        <v>53</v>
      </c>
      <c r="C530" s="33" t="s">
        <v>123</v>
      </c>
      <c r="D530" s="34" t="n">
        <v>79900</v>
      </c>
      <c r="E530" s="33" t="n">
        <v>6</v>
      </c>
      <c r="F530" s="34" t="n">
        <f aca="false">D530*E530</f>
        <v>479400</v>
      </c>
      <c r="G530" s="33" t="s">
        <v>54</v>
      </c>
      <c r="H530" s="33" t="str">
        <f aca="false">INDEX(Products!$C$2:$C$51,MATCH(C530,Products!$B$2:$B$51,0))</f>
        <v>Scooter</v>
      </c>
    </row>
    <row r="531" customFormat="false" ht="15" hidden="false" customHeight="false" outlineLevel="0" collapsed="false">
      <c r="A531" s="32" t="n">
        <v>45857</v>
      </c>
      <c r="B531" s="33" t="s">
        <v>53</v>
      </c>
      <c r="C531" s="33" t="s">
        <v>100</v>
      </c>
      <c r="D531" s="34" t="n">
        <v>78900</v>
      </c>
      <c r="E531" s="33" t="n">
        <v>32</v>
      </c>
      <c r="F531" s="34" t="n">
        <f aca="false">D531*E531</f>
        <v>2524800</v>
      </c>
      <c r="G531" s="33" t="s">
        <v>50</v>
      </c>
      <c r="H531" s="33" t="str">
        <f aca="false">INDEX(Products!$C$2:$C$51,MATCH(C531,Products!$B$2:$B$51,0))</f>
        <v>Adventure</v>
      </c>
    </row>
    <row r="532" customFormat="false" ht="15" hidden="false" customHeight="false" outlineLevel="0" collapsed="false">
      <c r="A532" s="32" t="n">
        <v>45857</v>
      </c>
      <c r="B532" s="33" t="s">
        <v>53</v>
      </c>
      <c r="C532" s="33" t="s">
        <v>128</v>
      </c>
      <c r="D532" s="34" t="n">
        <v>68900</v>
      </c>
      <c r="E532" s="33" t="n">
        <v>1</v>
      </c>
      <c r="F532" s="34" t="n">
        <f aca="false">D532*E532</f>
        <v>68900</v>
      </c>
      <c r="G532" s="33" t="s">
        <v>50</v>
      </c>
      <c r="H532" s="33" t="str">
        <f aca="false">INDEX(Products!$C$2:$C$51,MATCH(C532,Products!$B$2:$B$51,0))</f>
        <v>Standard</v>
      </c>
    </row>
    <row r="533" customFormat="false" ht="15" hidden="false" customHeight="false" outlineLevel="0" collapsed="false">
      <c r="A533" s="32" t="n">
        <v>45857</v>
      </c>
      <c r="B533" s="33" t="s">
        <v>49</v>
      </c>
      <c r="C533" s="33" t="s">
        <v>68</v>
      </c>
      <c r="D533" s="34" t="n">
        <v>389000</v>
      </c>
      <c r="E533" s="33" t="n">
        <v>16</v>
      </c>
      <c r="F533" s="34" t="n">
        <f aca="false">D533*E533</f>
        <v>6224000</v>
      </c>
      <c r="G533" s="33" t="s">
        <v>54</v>
      </c>
      <c r="H533" s="33" t="str">
        <f aca="false">INDEX(Products!$C$2:$C$51,MATCH(C533,Products!$B$2:$B$51,0))</f>
        <v>Sport</v>
      </c>
    </row>
    <row r="534" customFormat="false" ht="15" hidden="false" customHeight="false" outlineLevel="0" collapsed="false">
      <c r="A534" s="32" t="n">
        <v>45857</v>
      </c>
      <c r="B534" s="33" t="s">
        <v>49</v>
      </c>
      <c r="C534" s="33" t="s">
        <v>109</v>
      </c>
      <c r="D534" s="34" t="n">
        <v>178000</v>
      </c>
      <c r="E534" s="33" t="n">
        <v>29</v>
      </c>
      <c r="F534" s="34" t="n">
        <f aca="false">D534*E534</f>
        <v>5162000</v>
      </c>
      <c r="G534" s="33" t="s">
        <v>57</v>
      </c>
      <c r="H534" s="33" t="str">
        <f aca="false">INDEX(Products!$C$2:$C$51,MATCH(C534,Products!$B$2:$B$51,0))</f>
        <v>Naked Bike</v>
      </c>
    </row>
    <row r="535" customFormat="false" ht="15" hidden="false" customHeight="false" outlineLevel="0" collapsed="false">
      <c r="A535" s="32" t="n">
        <v>45858</v>
      </c>
      <c r="B535" s="33" t="s">
        <v>53</v>
      </c>
      <c r="C535" s="33" t="s">
        <v>128</v>
      </c>
      <c r="D535" s="34" t="n">
        <v>68900</v>
      </c>
      <c r="E535" s="33" t="n">
        <v>7</v>
      </c>
      <c r="F535" s="34" t="n">
        <f aca="false">D535*E535</f>
        <v>482300</v>
      </c>
      <c r="G535" s="33" t="s">
        <v>57</v>
      </c>
      <c r="H535" s="33" t="str">
        <f aca="false">INDEX(Products!$C$2:$C$51,MATCH(C535,Products!$B$2:$B$51,0))</f>
        <v>Standard</v>
      </c>
    </row>
    <row r="536" customFormat="false" ht="15" hidden="false" customHeight="false" outlineLevel="0" collapsed="false">
      <c r="A536" s="32" t="n">
        <v>45858</v>
      </c>
      <c r="B536" s="33" t="s">
        <v>49</v>
      </c>
      <c r="C536" s="33" t="s">
        <v>99</v>
      </c>
      <c r="D536" s="34" t="n">
        <v>369000</v>
      </c>
      <c r="E536" s="33" t="n">
        <v>20</v>
      </c>
      <c r="F536" s="34" t="n">
        <f aca="false">D536*E536</f>
        <v>7380000</v>
      </c>
      <c r="G536" s="33" t="s">
        <v>50</v>
      </c>
      <c r="H536" s="33" t="str">
        <f aca="false">INDEX(Products!$C$2:$C$51,MATCH(C536,Products!$B$2:$B$51,0))</f>
        <v>Adventure</v>
      </c>
    </row>
    <row r="537" customFormat="false" ht="15" hidden="false" customHeight="false" outlineLevel="0" collapsed="false">
      <c r="A537" s="32" t="n">
        <v>45858</v>
      </c>
      <c r="B537" s="33" t="s">
        <v>53</v>
      </c>
      <c r="C537" s="33" t="s">
        <v>113</v>
      </c>
      <c r="D537" s="34" t="n">
        <v>182000</v>
      </c>
      <c r="E537" s="33" t="n">
        <v>8</v>
      </c>
      <c r="F537" s="34" t="n">
        <f aca="false">D537*E537</f>
        <v>1456000</v>
      </c>
      <c r="G537" s="33" t="s">
        <v>54</v>
      </c>
      <c r="H537" s="33" t="str">
        <f aca="false">INDEX(Products!$C$2:$C$51,MATCH(C537,Products!$B$2:$B$51,0))</f>
        <v>Retro</v>
      </c>
    </row>
    <row r="538" customFormat="false" ht="15" hidden="false" customHeight="false" outlineLevel="0" collapsed="false">
      <c r="A538" s="32" t="n">
        <v>45858</v>
      </c>
      <c r="B538" s="33" t="s">
        <v>53</v>
      </c>
      <c r="C538" s="33" t="s">
        <v>130</v>
      </c>
      <c r="D538" s="34" t="n">
        <v>119900</v>
      </c>
      <c r="E538" s="33" t="n">
        <v>37</v>
      </c>
      <c r="F538" s="34" t="n">
        <f aca="false">D538*E538</f>
        <v>4436300</v>
      </c>
      <c r="G538" s="33" t="s">
        <v>54</v>
      </c>
      <c r="H538" s="33" t="str">
        <f aca="false">INDEX(Products!$C$2:$C$51,MATCH(C538,Products!$B$2:$B$51,0))</f>
        <v>Underbone</v>
      </c>
    </row>
    <row r="539" customFormat="false" ht="15" hidden="false" customHeight="false" outlineLevel="0" collapsed="false">
      <c r="A539" s="32" t="n">
        <v>45858</v>
      </c>
      <c r="B539" s="33" t="s">
        <v>49</v>
      </c>
      <c r="C539" s="33" t="s">
        <v>120</v>
      </c>
      <c r="D539" s="34" t="n">
        <v>124000</v>
      </c>
      <c r="E539" s="33" t="n">
        <v>28</v>
      </c>
      <c r="F539" s="34" t="n">
        <f aca="false">D539*E539</f>
        <v>3472000</v>
      </c>
      <c r="G539" s="33" t="s">
        <v>57</v>
      </c>
      <c r="H539" s="33" t="str">
        <f aca="false">INDEX(Products!$C$2:$C$51,MATCH(C539,Products!$B$2:$B$51,0))</f>
        <v>Scooter</v>
      </c>
    </row>
    <row r="540" customFormat="false" ht="15" hidden="false" customHeight="false" outlineLevel="0" collapsed="false">
      <c r="A540" s="32" t="n">
        <v>45858</v>
      </c>
      <c r="B540" s="33" t="s">
        <v>49</v>
      </c>
      <c r="C540" s="33" t="s">
        <v>114</v>
      </c>
      <c r="D540" s="34" t="n">
        <v>319000</v>
      </c>
      <c r="E540" s="33" t="n">
        <v>2</v>
      </c>
      <c r="F540" s="34" t="n">
        <f aca="false">D540*E540</f>
        <v>638000</v>
      </c>
      <c r="G540" s="33" t="s">
        <v>54</v>
      </c>
      <c r="H540" s="33" t="str">
        <f aca="false">INDEX(Products!$C$2:$C$51,MATCH(C540,Products!$B$2:$B$51,0))</f>
        <v>Scooter</v>
      </c>
    </row>
    <row r="541" customFormat="false" ht="15" hidden="false" customHeight="false" outlineLevel="0" collapsed="false">
      <c r="A541" s="32" t="n">
        <v>45858</v>
      </c>
      <c r="B541" s="33" t="s">
        <v>53</v>
      </c>
      <c r="C541" s="33" t="s">
        <v>52</v>
      </c>
      <c r="D541" s="34" t="n">
        <v>398000</v>
      </c>
      <c r="E541" s="33" t="n">
        <v>28</v>
      </c>
      <c r="F541" s="34" t="n">
        <f aca="false">D541*E541</f>
        <v>11144000</v>
      </c>
      <c r="G541" s="33" t="s">
        <v>54</v>
      </c>
      <c r="H541" s="33" t="str">
        <f aca="false">INDEX(Products!$C$2:$C$51,MATCH(C541,Products!$B$2:$B$51,0))</f>
        <v>Cruiser</v>
      </c>
    </row>
    <row r="542" customFormat="false" ht="15" hidden="false" customHeight="false" outlineLevel="0" collapsed="false">
      <c r="A542" s="32" t="n">
        <v>45858</v>
      </c>
      <c r="B542" s="33" t="s">
        <v>53</v>
      </c>
      <c r="C542" s="33" t="s">
        <v>118</v>
      </c>
      <c r="D542" s="34" t="n">
        <v>151900</v>
      </c>
      <c r="E542" s="33" t="n">
        <v>17</v>
      </c>
      <c r="F542" s="34" t="n">
        <f aca="false">D542*E542</f>
        <v>2582300</v>
      </c>
      <c r="G542" s="33" t="s">
        <v>54</v>
      </c>
      <c r="H542" s="33" t="str">
        <f aca="false">INDEX(Products!$C$2:$C$51,MATCH(C542,Products!$B$2:$B$51,0))</f>
        <v>Scooter</v>
      </c>
    </row>
    <row r="543" customFormat="false" ht="15" hidden="false" customHeight="false" outlineLevel="0" collapsed="false">
      <c r="A543" s="32" t="n">
        <v>45858</v>
      </c>
      <c r="B543" s="33" t="s">
        <v>49</v>
      </c>
      <c r="C543" s="33" t="s">
        <v>116</v>
      </c>
      <c r="D543" s="34" t="n">
        <v>219000</v>
      </c>
      <c r="E543" s="33" t="n">
        <v>7</v>
      </c>
      <c r="F543" s="34" t="n">
        <f aca="false">D543*E543</f>
        <v>1533000</v>
      </c>
      <c r="G543" s="33" t="s">
        <v>50</v>
      </c>
      <c r="H543" s="33" t="str">
        <f aca="false">INDEX(Products!$C$2:$C$51,MATCH(C543,Products!$B$2:$B$51,0))</f>
        <v>Scooter</v>
      </c>
    </row>
    <row r="544" customFormat="false" ht="15" hidden="false" customHeight="false" outlineLevel="0" collapsed="false">
      <c r="A544" s="32" t="n">
        <v>45858</v>
      </c>
      <c r="B544" s="33" t="s">
        <v>53</v>
      </c>
      <c r="C544" s="33" t="s">
        <v>68</v>
      </c>
      <c r="D544" s="34" t="n">
        <v>389000</v>
      </c>
      <c r="E544" s="33" t="n">
        <v>18</v>
      </c>
      <c r="F544" s="34" t="n">
        <f aca="false">D544*E544</f>
        <v>7002000</v>
      </c>
      <c r="G544" s="33" t="s">
        <v>57</v>
      </c>
      <c r="H544" s="33" t="str">
        <f aca="false">INDEX(Products!$C$2:$C$51,MATCH(C544,Products!$B$2:$B$51,0))</f>
        <v>Sport</v>
      </c>
    </row>
    <row r="545" customFormat="false" ht="15" hidden="false" customHeight="false" outlineLevel="0" collapsed="false">
      <c r="A545" s="32" t="n">
        <v>45859</v>
      </c>
      <c r="B545" s="33" t="s">
        <v>53</v>
      </c>
      <c r="C545" s="33" t="s">
        <v>111</v>
      </c>
      <c r="D545" s="34" t="n">
        <v>129000</v>
      </c>
      <c r="E545" s="33" t="n">
        <v>47</v>
      </c>
      <c r="F545" s="34" t="n">
        <f aca="false">D545*E545</f>
        <v>6063000</v>
      </c>
      <c r="G545" s="33" t="s">
        <v>50</v>
      </c>
      <c r="H545" s="33" t="str">
        <f aca="false">INDEX(Products!$C$2:$C$51,MATCH(C545,Products!$B$2:$B$51,0))</f>
        <v>Naked Bike</v>
      </c>
    </row>
    <row r="546" customFormat="false" ht="15" hidden="false" customHeight="false" outlineLevel="0" collapsed="false">
      <c r="A546" s="32" t="n">
        <v>45859</v>
      </c>
      <c r="B546" s="33" t="s">
        <v>53</v>
      </c>
      <c r="C546" s="33" t="s">
        <v>116</v>
      </c>
      <c r="D546" s="34" t="n">
        <v>219000</v>
      </c>
      <c r="E546" s="33" t="n">
        <v>3</v>
      </c>
      <c r="F546" s="34" t="n">
        <f aca="false">D546*E546</f>
        <v>657000</v>
      </c>
      <c r="G546" s="33" t="s">
        <v>50</v>
      </c>
      <c r="H546" s="33" t="str">
        <f aca="false">INDEX(Products!$C$2:$C$51,MATCH(C546,Products!$B$2:$B$51,0))</f>
        <v>Scooter</v>
      </c>
    </row>
    <row r="547" customFormat="false" ht="15" hidden="false" customHeight="false" outlineLevel="0" collapsed="false">
      <c r="A547" s="32" t="n">
        <v>45859</v>
      </c>
      <c r="B547" s="33" t="s">
        <v>53</v>
      </c>
      <c r="C547" s="33" t="s">
        <v>116</v>
      </c>
      <c r="D547" s="34" t="n">
        <v>219000</v>
      </c>
      <c r="E547" s="33" t="n">
        <v>1</v>
      </c>
      <c r="F547" s="34" t="n">
        <f aca="false">D547*E547</f>
        <v>219000</v>
      </c>
      <c r="G547" s="33" t="s">
        <v>57</v>
      </c>
      <c r="H547" s="33" t="str">
        <f aca="false">INDEX(Products!$C$2:$C$51,MATCH(C547,Products!$B$2:$B$51,0))</f>
        <v>Scooter</v>
      </c>
    </row>
    <row r="548" customFormat="false" ht="15" hidden="false" customHeight="false" outlineLevel="0" collapsed="false">
      <c r="A548" s="32" t="n">
        <v>45859</v>
      </c>
      <c r="B548" s="33" t="s">
        <v>49</v>
      </c>
      <c r="C548" s="33" t="s">
        <v>115</v>
      </c>
      <c r="D548" s="34" t="n">
        <v>289000</v>
      </c>
      <c r="E548" s="33" t="n">
        <v>46</v>
      </c>
      <c r="F548" s="34" t="n">
        <f aca="false">D548*E548</f>
        <v>13294000</v>
      </c>
      <c r="G548" s="33" t="s">
        <v>57</v>
      </c>
      <c r="H548" s="33" t="str">
        <f aca="false">INDEX(Products!$C$2:$C$51,MATCH(C548,Products!$B$2:$B$51,0))</f>
        <v>Scooter</v>
      </c>
    </row>
    <row r="549" customFormat="false" ht="15" hidden="false" customHeight="false" outlineLevel="0" collapsed="false">
      <c r="A549" s="32" t="n">
        <v>45859</v>
      </c>
      <c r="B549" s="33" t="s">
        <v>53</v>
      </c>
      <c r="C549" s="33" t="s">
        <v>107</v>
      </c>
      <c r="D549" s="34" t="n">
        <v>199000</v>
      </c>
      <c r="E549" s="33" t="n">
        <v>11</v>
      </c>
      <c r="F549" s="34" t="n">
        <f aca="false">D549*E549</f>
        <v>2189000</v>
      </c>
      <c r="G549" s="33" t="s">
        <v>50</v>
      </c>
      <c r="H549" s="33" t="str">
        <f aca="false">INDEX(Products!$C$2:$C$51,MATCH(C549,Products!$B$2:$B$51,0))</f>
        <v>Dual-Sport</v>
      </c>
    </row>
    <row r="550" customFormat="false" ht="15" hidden="false" customHeight="false" outlineLevel="0" collapsed="false">
      <c r="A550" s="32" t="n">
        <v>45859</v>
      </c>
      <c r="B550" s="33" t="s">
        <v>53</v>
      </c>
      <c r="C550" s="33" t="s">
        <v>117</v>
      </c>
      <c r="D550" s="34" t="n">
        <v>210000</v>
      </c>
      <c r="E550" s="33" t="n">
        <v>13</v>
      </c>
      <c r="F550" s="34" t="n">
        <f aca="false">D550*E550</f>
        <v>2730000</v>
      </c>
      <c r="G550" s="33" t="s">
        <v>54</v>
      </c>
      <c r="H550" s="33" t="str">
        <f aca="false">INDEX(Products!$C$2:$C$51,MATCH(C550,Products!$B$2:$B$51,0))</f>
        <v>Scooter</v>
      </c>
    </row>
    <row r="551" customFormat="false" ht="15" hidden="false" customHeight="false" outlineLevel="0" collapsed="false">
      <c r="A551" s="32" t="n">
        <v>45859</v>
      </c>
      <c r="B551" s="33" t="s">
        <v>49</v>
      </c>
      <c r="C551" s="33" t="s">
        <v>112</v>
      </c>
      <c r="D551" s="34" t="n">
        <v>125000</v>
      </c>
      <c r="E551" s="33" t="n">
        <v>11</v>
      </c>
      <c r="F551" s="34" t="n">
        <f aca="false">D551*E551</f>
        <v>1375000</v>
      </c>
      <c r="G551" s="33" t="s">
        <v>57</v>
      </c>
      <c r="H551" s="33" t="str">
        <f aca="false">INDEX(Products!$C$2:$C$51,MATCH(C551,Products!$B$2:$B$51,0))</f>
        <v>Naked Bike</v>
      </c>
    </row>
    <row r="552" customFormat="false" ht="15" hidden="false" customHeight="false" outlineLevel="0" collapsed="false">
      <c r="A552" s="32" t="n">
        <v>45859</v>
      </c>
      <c r="B552" s="33" t="s">
        <v>49</v>
      </c>
      <c r="C552" s="33" t="s">
        <v>123</v>
      </c>
      <c r="D552" s="34" t="n">
        <v>79900</v>
      </c>
      <c r="E552" s="33" t="n">
        <v>38</v>
      </c>
      <c r="F552" s="34" t="n">
        <f aca="false">D552*E552</f>
        <v>3036200</v>
      </c>
      <c r="G552" s="33" t="s">
        <v>57</v>
      </c>
      <c r="H552" s="33" t="str">
        <f aca="false">INDEX(Products!$C$2:$C$51,MATCH(C552,Products!$B$2:$B$51,0))</f>
        <v>Scooter</v>
      </c>
    </row>
    <row r="553" customFormat="false" ht="15" hidden="false" customHeight="false" outlineLevel="0" collapsed="false">
      <c r="A553" s="32" t="n">
        <v>45859</v>
      </c>
      <c r="B553" s="33" t="s">
        <v>53</v>
      </c>
      <c r="C553" s="33" t="s">
        <v>115</v>
      </c>
      <c r="D553" s="34" t="n">
        <v>289000</v>
      </c>
      <c r="E553" s="33" t="n">
        <v>2</v>
      </c>
      <c r="F553" s="34" t="n">
        <f aca="false">D553*E553</f>
        <v>578000</v>
      </c>
      <c r="G553" s="33" t="s">
        <v>54</v>
      </c>
      <c r="H553" s="33" t="str">
        <f aca="false">INDEX(Products!$C$2:$C$51,MATCH(C553,Products!$B$2:$B$51,0))</f>
        <v>Scooter</v>
      </c>
    </row>
    <row r="554" customFormat="false" ht="15" hidden="false" customHeight="false" outlineLevel="0" collapsed="false">
      <c r="A554" s="32" t="n">
        <v>45859</v>
      </c>
      <c r="B554" s="33" t="s">
        <v>53</v>
      </c>
      <c r="C554" s="33" t="s">
        <v>107</v>
      </c>
      <c r="D554" s="34" t="n">
        <v>199000</v>
      </c>
      <c r="E554" s="33" t="n">
        <v>50</v>
      </c>
      <c r="F554" s="34" t="n">
        <f aca="false">D554*E554</f>
        <v>9950000</v>
      </c>
      <c r="G554" s="33" t="s">
        <v>57</v>
      </c>
      <c r="H554" s="33" t="str">
        <f aca="false">INDEX(Products!$C$2:$C$51,MATCH(C554,Products!$B$2:$B$51,0))</f>
        <v>Dual-Sport</v>
      </c>
    </row>
    <row r="555" customFormat="false" ht="15" hidden="false" customHeight="false" outlineLevel="0" collapsed="false">
      <c r="A555" s="32" t="n">
        <v>45859</v>
      </c>
      <c r="B555" s="33" t="s">
        <v>49</v>
      </c>
      <c r="C555" s="33" t="s">
        <v>115</v>
      </c>
      <c r="D555" s="34" t="n">
        <v>289000</v>
      </c>
      <c r="E555" s="33" t="n">
        <v>30</v>
      </c>
      <c r="F555" s="34" t="n">
        <f aca="false">D555*E555</f>
        <v>8670000</v>
      </c>
      <c r="G555" s="33" t="s">
        <v>54</v>
      </c>
      <c r="H555" s="33" t="str">
        <f aca="false">INDEX(Products!$C$2:$C$51,MATCH(C555,Products!$B$2:$B$51,0))</f>
        <v>Scooter</v>
      </c>
    </row>
    <row r="556" customFormat="false" ht="15" hidden="false" customHeight="false" outlineLevel="0" collapsed="false">
      <c r="A556" s="32" t="n">
        <v>45859</v>
      </c>
      <c r="B556" s="33" t="s">
        <v>53</v>
      </c>
      <c r="C556" s="33" t="s">
        <v>130</v>
      </c>
      <c r="D556" s="34" t="n">
        <v>119900</v>
      </c>
      <c r="E556" s="33" t="n">
        <v>15</v>
      </c>
      <c r="F556" s="34" t="n">
        <f aca="false">D556*E556</f>
        <v>1798500</v>
      </c>
      <c r="G556" s="33" t="s">
        <v>54</v>
      </c>
      <c r="H556" s="33" t="str">
        <f aca="false">INDEX(Products!$C$2:$C$51,MATCH(C556,Products!$B$2:$B$51,0))</f>
        <v>Underbone</v>
      </c>
    </row>
    <row r="557" customFormat="false" ht="15" hidden="false" customHeight="false" outlineLevel="0" collapsed="false">
      <c r="A557" s="32" t="n">
        <v>45859</v>
      </c>
      <c r="B557" s="33" t="s">
        <v>49</v>
      </c>
      <c r="C557" s="33" t="s">
        <v>113</v>
      </c>
      <c r="D557" s="34" t="n">
        <v>182000</v>
      </c>
      <c r="E557" s="33" t="n">
        <v>11</v>
      </c>
      <c r="F557" s="34" t="n">
        <f aca="false">D557*E557</f>
        <v>2002000</v>
      </c>
      <c r="G557" s="33" t="s">
        <v>54</v>
      </c>
      <c r="H557" s="33" t="str">
        <f aca="false">INDEX(Products!$C$2:$C$51,MATCH(C557,Products!$B$2:$B$51,0))</f>
        <v>Retro</v>
      </c>
    </row>
    <row r="558" customFormat="false" ht="15" hidden="false" customHeight="false" outlineLevel="0" collapsed="false">
      <c r="A558" s="32" t="n">
        <v>45859</v>
      </c>
      <c r="B558" s="33" t="s">
        <v>53</v>
      </c>
      <c r="C558" s="33" t="s">
        <v>58</v>
      </c>
      <c r="D558" s="34" t="n">
        <v>995000</v>
      </c>
      <c r="E558" s="33" t="n">
        <v>14</v>
      </c>
      <c r="F558" s="34" t="n">
        <f aca="false">D558*E558</f>
        <v>13930000</v>
      </c>
      <c r="G558" s="33" t="s">
        <v>57</v>
      </c>
      <c r="H558" s="33" t="str">
        <f aca="false">INDEX(Products!$C$2:$C$51,MATCH(C558,Products!$B$2:$B$51,0))</f>
        <v>Heritage</v>
      </c>
    </row>
    <row r="559" customFormat="false" ht="15" hidden="false" customHeight="false" outlineLevel="0" collapsed="false">
      <c r="A559" s="32" t="n">
        <v>45859</v>
      </c>
      <c r="B559" s="33" t="s">
        <v>53</v>
      </c>
      <c r="C559" s="33" t="s">
        <v>71</v>
      </c>
      <c r="D559" s="34" t="n">
        <v>165000</v>
      </c>
      <c r="E559" s="33" t="n">
        <v>3</v>
      </c>
      <c r="F559" s="34" t="n">
        <f aca="false">D559*E559</f>
        <v>495000</v>
      </c>
      <c r="G559" s="33" t="s">
        <v>57</v>
      </c>
      <c r="H559" s="33" t="str">
        <f aca="false">INDEX(Products!$C$2:$C$51,MATCH(C559,Products!$B$2:$B$51,0))</f>
        <v>Naked Bike</v>
      </c>
    </row>
    <row r="560" customFormat="false" ht="15" hidden="false" customHeight="false" outlineLevel="0" collapsed="false">
      <c r="A560" s="32" t="n">
        <v>45860</v>
      </c>
      <c r="B560" s="33" t="s">
        <v>53</v>
      </c>
      <c r="C560" s="33" t="s">
        <v>103</v>
      </c>
      <c r="D560" s="34" t="n">
        <v>48000</v>
      </c>
      <c r="E560" s="33" t="n">
        <v>11</v>
      </c>
      <c r="F560" s="34" t="n">
        <f aca="false">D560*E560</f>
        <v>528000</v>
      </c>
      <c r="G560" s="33" t="s">
        <v>57</v>
      </c>
      <c r="H560" s="33" t="str">
        <f aca="false">INDEX(Products!$C$2:$C$51,MATCH(C560,Products!$B$2:$B$51,0))</f>
        <v>Commuter</v>
      </c>
    </row>
    <row r="561" customFormat="false" ht="15" hidden="false" customHeight="false" outlineLevel="0" collapsed="false">
      <c r="A561" s="32" t="n">
        <v>45860</v>
      </c>
      <c r="B561" s="33" t="s">
        <v>49</v>
      </c>
      <c r="C561" s="33" t="s">
        <v>66</v>
      </c>
      <c r="D561" s="34" t="n">
        <v>398000</v>
      </c>
      <c r="E561" s="33" t="n">
        <v>18</v>
      </c>
      <c r="F561" s="34" t="n">
        <f aca="false">D561*E561</f>
        <v>7164000</v>
      </c>
      <c r="G561" s="33" t="s">
        <v>57</v>
      </c>
      <c r="H561" s="33" t="str">
        <f aca="false">INDEX(Products!$C$2:$C$51,MATCH(C561,Products!$B$2:$B$51,0))</f>
        <v>Scooter</v>
      </c>
    </row>
    <row r="562" customFormat="false" ht="15" hidden="false" customHeight="false" outlineLevel="0" collapsed="false">
      <c r="A562" s="32" t="n">
        <v>45860</v>
      </c>
      <c r="B562" s="33" t="s">
        <v>53</v>
      </c>
      <c r="C562" s="33" t="s">
        <v>101</v>
      </c>
      <c r="D562" s="34" t="n">
        <v>328000</v>
      </c>
      <c r="E562" s="33" t="n">
        <v>10</v>
      </c>
      <c r="F562" s="34" t="n">
        <f aca="false">D562*E562</f>
        <v>3280000</v>
      </c>
      <c r="G562" s="33" t="s">
        <v>50</v>
      </c>
      <c r="H562" s="33" t="str">
        <f aca="false">INDEX(Products!$C$2:$C$51,MATCH(C562,Products!$B$2:$B$51,0))</f>
        <v>Cafe Racer</v>
      </c>
    </row>
    <row r="563" customFormat="false" ht="15" hidden="false" customHeight="false" outlineLevel="0" collapsed="false">
      <c r="A563" s="32" t="n">
        <v>45860</v>
      </c>
      <c r="B563" s="33" t="s">
        <v>49</v>
      </c>
      <c r="C563" s="33" t="s">
        <v>129</v>
      </c>
      <c r="D563" s="34" t="n">
        <v>125900</v>
      </c>
      <c r="E563" s="33" t="n">
        <v>33</v>
      </c>
      <c r="F563" s="34" t="n">
        <f aca="false">D563*E563</f>
        <v>4154700</v>
      </c>
      <c r="G563" s="33" t="s">
        <v>54</v>
      </c>
      <c r="H563" s="33" t="str">
        <f aca="false">INDEX(Products!$C$2:$C$51,MATCH(C563,Products!$B$2:$B$51,0))</f>
        <v>Underbone</v>
      </c>
    </row>
    <row r="564" customFormat="false" ht="15" hidden="false" customHeight="false" outlineLevel="0" collapsed="false">
      <c r="A564" s="32" t="n">
        <v>45860</v>
      </c>
      <c r="B564" s="33" t="s">
        <v>49</v>
      </c>
      <c r="C564" s="33" t="s">
        <v>107</v>
      </c>
      <c r="D564" s="34" t="n">
        <v>199000</v>
      </c>
      <c r="E564" s="33" t="n">
        <v>2</v>
      </c>
      <c r="F564" s="34" t="n">
        <f aca="false">D564*E564</f>
        <v>398000</v>
      </c>
      <c r="G564" s="33" t="s">
        <v>50</v>
      </c>
      <c r="H564" s="33" t="str">
        <f aca="false">INDEX(Products!$C$2:$C$51,MATCH(C564,Products!$B$2:$B$51,0))</f>
        <v>Dual-Sport</v>
      </c>
    </row>
    <row r="565" customFormat="false" ht="15" hidden="false" customHeight="false" outlineLevel="0" collapsed="false">
      <c r="A565" s="32" t="n">
        <v>45860</v>
      </c>
      <c r="B565" s="33" t="s">
        <v>49</v>
      </c>
      <c r="C565" s="33" t="s">
        <v>102</v>
      </c>
      <c r="D565" s="34" t="n">
        <v>269000</v>
      </c>
      <c r="E565" s="33" t="n">
        <v>20</v>
      </c>
      <c r="F565" s="34" t="n">
        <f aca="false">D565*E565</f>
        <v>5380000</v>
      </c>
      <c r="G565" s="33" t="s">
        <v>57</v>
      </c>
      <c r="H565" s="33" t="str">
        <f aca="false">INDEX(Products!$C$2:$C$51,MATCH(C565,Products!$B$2:$B$51,0))</f>
        <v>Cafe Racer</v>
      </c>
    </row>
    <row r="566" customFormat="false" ht="15" hidden="false" customHeight="false" outlineLevel="0" collapsed="false">
      <c r="A566" s="32" t="n">
        <v>45860</v>
      </c>
      <c r="B566" s="33" t="s">
        <v>53</v>
      </c>
      <c r="C566" s="33" t="s">
        <v>62</v>
      </c>
      <c r="D566" s="34" t="n">
        <v>650000</v>
      </c>
      <c r="E566" s="33" t="n">
        <v>3</v>
      </c>
      <c r="F566" s="34" t="n">
        <f aca="false">D566*E566</f>
        <v>1950000</v>
      </c>
      <c r="G566" s="33" t="s">
        <v>50</v>
      </c>
      <c r="H566" s="33" t="str">
        <f aca="false">INDEX(Products!$C$2:$C$51,MATCH(C566,Products!$B$2:$B$51,0))</f>
        <v>Cruiser</v>
      </c>
    </row>
    <row r="567" customFormat="false" ht="15" hidden="false" customHeight="false" outlineLevel="0" collapsed="false">
      <c r="A567" s="32" t="n">
        <v>45860</v>
      </c>
      <c r="B567" s="33" t="s">
        <v>49</v>
      </c>
      <c r="C567" s="33" t="s">
        <v>61</v>
      </c>
      <c r="D567" s="34" t="n">
        <v>299000</v>
      </c>
      <c r="E567" s="33" t="n">
        <v>2</v>
      </c>
      <c r="F567" s="34" t="n">
        <f aca="false">D567*E567</f>
        <v>598000</v>
      </c>
      <c r="G567" s="33" t="s">
        <v>54</v>
      </c>
      <c r="H567" s="33" t="str">
        <f aca="false">INDEX(Products!$C$2:$C$51,MATCH(C567,Products!$B$2:$B$51,0))</f>
        <v>Dual-Sport</v>
      </c>
    </row>
    <row r="568" customFormat="false" ht="15" hidden="false" customHeight="false" outlineLevel="0" collapsed="false">
      <c r="A568" s="32" t="n">
        <v>45860</v>
      </c>
      <c r="B568" s="33" t="s">
        <v>53</v>
      </c>
      <c r="C568" s="33" t="s">
        <v>114</v>
      </c>
      <c r="D568" s="34" t="n">
        <v>319000</v>
      </c>
      <c r="E568" s="33" t="n">
        <v>40</v>
      </c>
      <c r="F568" s="34" t="n">
        <f aca="false">D568*E568</f>
        <v>12760000</v>
      </c>
      <c r="G568" s="33" t="s">
        <v>57</v>
      </c>
      <c r="H568" s="33" t="str">
        <f aca="false">INDEX(Products!$C$2:$C$51,MATCH(C568,Products!$B$2:$B$51,0))</f>
        <v>Scooter</v>
      </c>
    </row>
    <row r="569" customFormat="false" ht="15" hidden="false" customHeight="false" outlineLevel="0" collapsed="false">
      <c r="A569" s="32" t="n">
        <v>45860</v>
      </c>
      <c r="B569" s="33" t="s">
        <v>53</v>
      </c>
      <c r="C569" s="33" t="s">
        <v>51</v>
      </c>
      <c r="D569" s="34" t="n">
        <v>689000</v>
      </c>
      <c r="E569" s="33" t="n">
        <v>28</v>
      </c>
      <c r="F569" s="34" t="n">
        <f aca="false">D569*E569</f>
        <v>19292000</v>
      </c>
      <c r="G569" s="33" t="s">
        <v>50</v>
      </c>
      <c r="H569" s="33" t="str">
        <f aca="false">INDEX(Products!$C$2:$C$51,MATCH(C569,Products!$B$2:$B$51,0))</f>
        <v>Heritage</v>
      </c>
    </row>
    <row r="570" customFormat="false" ht="15" hidden="false" customHeight="false" outlineLevel="0" collapsed="false">
      <c r="A570" s="32" t="n">
        <v>45860</v>
      </c>
      <c r="B570" s="33" t="s">
        <v>53</v>
      </c>
      <c r="C570" s="33" t="s">
        <v>66</v>
      </c>
      <c r="D570" s="34" t="n">
        <v>398000</v>
      </c>
      <c r="E570" s="33" t="n">
        <v>44</v>
      </c>
      <c r="F570" s="34" t="n">
        <f aca="false">D570*E570</f>
        <v>17512000</v>
      </c>
      <c r="G570" s="33" t="s">
        <v>54</v>
      </c>
      <c r="H570" s="33" t="str">
        <f aca="false">INDEX(Products!$C$2:$C$51,MATCH(C570,Products!$B$2:$B$51,0))</f>
        <v>Scooter</v>
      </c>
    </row>
    <row r="571" customFormat="false" ht="15" hidden="false" customHeight="false" outlineLevel="0" collapsed="false">
      <c r="A571" s="32" t="n">
        <v>45860</v>
      </c>
      <c r="B571" s="33" t="s">
        <v>49</v>
      </c>
      <c r="C571" s="33" t="s">
        <v>65</v>
      </c>
      <c r="D571" s="34" t="n">
        <v>345000</v>
      </c>
      <c r="E571" s="33" t="n">
        <v>41</v>
      </c>
      <c r="F571" s="34" t="n">
        <f aca="false">D571*E571</f>
        <v>14145000</v>
      </c>
      <c r="G571" s="33" t="s">
        <v>54</v>
      </c>
      <c r="H571" s="33" t="str">
        <f aca="false">INDEX(Products!$C$2:$C$51,MATCH(C571,Products!$B$2:$B$51,0))</f>
        <v>Touring</v>
      </c>
    </row>
    <row r="572" customFormat="false" ht="15" hidden="false" customHeight="false" outlineLevel="0" collapsed="false">
      <c r="A572" s="32" t="n">
        <v>45860</v>
      </c>
      <c r="B572" s="33" t="s">
        <v>53</v>
      </c>
      <c r="C572" s="33" t="s">
        <v>126</v>
      </c>
      <c r="D572" s="34" t="n">
        <v>198000</v>
      </c>
      <c r="E572" s="33" t="n">
        <v>1</v>
      </c>
      <c r="F572" s="34" t="n">
        <f aca="false">D572*E572</f>
        <v>198000</v>
      </c>
      <c r="G572" s="33" t="s">
        <v>57</v>
      </c>
      <c r="H572" s="33" t="str">
        <f aca="false">INDEX(Products!$C$2:$C$51,MATCH(C572,Products!$B$2:$B$51,0))</f>
        <v>Sport</v>
      </c>
    </row>
    <row r="573" customFormat="false" ht="15" hidden="false" customHeight="false" outlineLevel="0" collapsed="false">
      <c r="A573" s="32" t="n">
        <v>45861</v>
      </c>
      <c r="B573" s="33" t="s">
        <v>53</v>
      </c>
      <c r="C573" s="33" t="s">
        <v>52</v>
      </c>
      <c r="D573" s="34" t="n">
        <v>398000</v>
      </c>
      <c r="E573" s="33" t="n">
        <v>19</v>
      </c>
      <c r="F573" s="34" t="n">
        <f aca="false">D573*E573</f>
        <v>7562000</v>
      </c>
      <c r="G573" s="33" t="s">
        <v>54</v>
      </c>
      <c r="H573" s="33" t="str">
        <f aca="false">INDEX(Products!$C$2:$C$51,MATCH(C573,Products!$B$2:$B$51,0))</f>
        <v>Cruiser</v>
      </c>
    </row>
    <row r="574" customFormat="false" ht="15" hidden="false" customHeight="false" outlineLevel="0" collapsed="false">
      <c r="A574" s="32" t="n">
        <v>45861</v>
      </c>
      <c r="B574" s="33" t="s">
        <v>49</v>
      </c>
      <c r="C574" s="33" t="s">
        <v>65</v>
      </c>
      <c r="D574" s="34" t="n">
        <v>345000</v>
      </c>
      <c r="E574" s="33" t="n">
        <v>10</v>
      </c>
      <c r="F574" s="34" t="n">
        <f aca="false">D574*E574</f>
        <v>3450000</v>
      </c>
      <c r="G574" s="33" t="s">
        <v>50</v>
      </c>
      <c r="H574" s="33" t="str">
        <f aca="false">INDEX(Products!$C$2:$C$51,MATCH(C574,Products!$B$2:$B$51,0))</f>
        <v>Touring</v>
      </c>
    </row>
    <row r="575" customFormat="false" ht="15" hidden="false" customHeight="false" outlineLevel="0" collapsed="false">
      <c r="A575" s="32" t="n">
        <v>45861</v>
      </c>
      <c r="B575" s="33" t="s">
        <v>53</v>
      </c>
      <c r="C575" s="33" t="s">
        <v>101</v>
      </c>
      <c r="D575" s="34" t="n">
        <v>328000</v>
      </c>
      <c r="E575" s="33" t="n">
        <v>11</v>
      </c>
      <c r="F575" s="34" t="n">
        <f aca="false">D575*E575</f>
        <v>3608000</v>
      </c>
      <c r="G575" s="33" t="s">
        <v>57</v>
      </c>
      <c r="H575" s="33" t="str">
        <f aca="false">INDEX(Products!$C$2:$C$51,MATCH(C575,Products!$B$2:$B$51,0))</f>
        <v>Cafe Racer</v>
      </c>
    </row>
    <row r="576" customFormat="false" ht="15" hidden="false" customHeight="false" outlineLevel="0" collapsed="false">
      <c r="A576" s="32" t="n">
        <v>45861</v>
      </c>
      <c r="B576" s="33" t="s">
        <v>53</v>
      </c>
      <c r="C576" s="33" t="s">
        <v>130</v>
      </c>
      <c r="D576" s="34" t="n">
        <v>119900</v>
      </c>
      <c r="E576" s="33" t="n">
        <v>30</v>
      </c>
      <c r="F576" s="34" t="n">
        <f aca="false">D576*E576</f>
        <v>3597000</v>
      </c>
      <c r="G576" s="33" t="s">
        <v>54</v>
      </c>
      <c r="H576" s="33" t="str">
        <f aca="false">INDEX(Products!$C$2:$C$51,MATCH(C576,Products!$B$2:$B$51,0))</f>
        <v>Underbone</v>
      </c>
    </row>
    <row r="577" customFormat="false" ht="15" hidden="false" customHeight="false" outlineLevel="0" collapsed="false">
      <c r="A577" s="32" t="n">
        <v>45861</v>
      </c>
      <c r="B577" s="33" t="s">
        <v>49</v>
      </c>
      <c r="C577" s="33" t="s">
        <v>122</v>
      </c>
      <c r="D577" s="34" t="n">
        <v>80900</v>
      </c>
      <c r="E577" s="33" t="n">
        <v>14</v>
      </c>
      <c r="F577" s="34" t="n">
        <f aca="false">D577*E577</f>
        <v>1132600</v>
      </c>
      <c r="G577" s="33" t="s">
        <v>57</v>
      </c>
      <c r="H577" s="33" t="str">
        <f aca="false">INDEX(Products!$C$2:$C$51,MATCH(C577,Products!$B$2:$B$51,0))</f>
        <v>Scooter</v>
      </c>
    </row>
    <row r="578" customFormat="false" ht="15" hidden="false" customHeight="false" outlineLevel="0" collapsed="false">
      <c r="A578" s="32" t="n">
        <v>45861</v>
      </c>
      <c r="B578" s="33" t="s">
        <v>49</v>
      </c>
      <c r="C578" s="33" t="s">
        <v>100</v>
      </c>
      <c r="D578" s="34" t="n">
        <v>78900</v>
      </c>
      <c r="E578" s="33" t="n">
        <v>4</v>
      </c>
      <c r="F578" s="34" t="n">
        <f aca="false">D578*E578</f>
        <v>315600</v>
      </c>
      <c r="G578" s="33" t="s">
        <v>50</v>
      </c>
      <c r="H578" s="33" t="str">
        <f aca="false">INDEX(Products!$C$2:$C$51,MATCH(C578,Products!$B$2:$B$51,0))</f>
        <v>Adventure</v>
      </c>
    </row>
    <row r="579" customFormat="false" ht="15" hidden="false" customHeight="false" outlineLevel="0" collapsed="false">
      <c r="A579" s="32" t="n">
        <v>45861</v>
      </c>
      <c r="B579" s="33" t="s">
        <v>53</v>
      </c>
      <c r="C579" s="33" t="s">
        <v>130</v>
      </c>
      <c r="D579" s="34" t="n">
        <v>119900</v>
      </c>
      <c r="E579" s="33" t="n">
        <v>8</v>
      </c>
      <c r="F579" s="34" t="n">
        <f aca="false">D579*E579</f>
        <v>959200</v>
      </c>
      <c r="G579" s="33" t="s">
        <v>57</v>
      </c>
      <c r="H579" s="33" t="str">
        <f aca="false">INDEX(Products!$C$2:$C$51,MATCH(C579,Products!$B$2:$B$51,0))</f>
        <v>Underbone</v>
      </c>
    </row>
    <row r="580" customFormat="false" ht="15" hidden="false" customHeight="false" outlineLevel="0" collapsed="false">
      <c r="A580" s="32" t="n">
        <v>45861</v>
      </c>
      <c r="B580" s="33" t="s">
        <v>53</v>
      </c>
      <c r="C580" s="33" t="s">
        <v>105</v>
      </c>
      <c r="D580" s="34" t="n">
        <v>349000</v>
      </c>
      <c r="E580" s="33" t="n">
        <v>11</v>
      </c>
      <c r="F580" s="34" t="n">
        <f aca="false">D580*E580</f>
        <v>3839000</v>
      </c>
      <c r="G580" s="33" t="s">
        <v>57</v>
      </c>
      <c r="H580" s="33" t="str">
        <f aca="false">INDEX(Products!$C$2:$C$51,MATCH(C580,Products!$B$2:$B$51,0))</f>
        <v>Cruiser</v>
      </c>
    </row>
    <row r="581" customFormat="false" ht="15" hidden="false" customHeight="false" outlineLevel="0" collapsed="false">
      <c r="A581" s="32" t="n">
        <v>45861</v>
      </c>
      <c r="B581" s="33" t="s">
        <v>49</v>
      </c>
      <c r="C581" s="33" t="s">
        <v>59</v>
      </c>
      <c r="D581" s="34" t="n">
        <v>165000</v>
      </c>
      <c r="E581" s="33" t="n">
        <v>19</v>
      </c>
      <c r="F581" s="34" t="n">
        <f aca="false">D581*E581</f>
        <v>3135000</v>
      </c>
      <c r="G581" s="33" t="s">
        <v>50</v>
      </c>
      <c r="H581" s="33" t="str">
        <f aca="false">INDEX(Products!$C$2:$C$51,MATCH(C581,Products!$B$2:$B$51,0))</f>
        <v>Sport</v>
      </c>
    </row>
    <row r="582" customFormat="false" ht="15" hidden="false" customHeight="false" outlineLevel="0" collapsed="false">
      <c r="A582" s="32" t="n">
        <v>45861</v>
      </c>
      <c r="B582" s="33" t="s">
        <v>53</v>
      </c>
      <c r="C582" s="33" t="s">
        <v>109</v>
      </c>
      <c r="D582" s="34" t="n">
        <v>178000</v>
      </c>
      <c r="E582" s="33" t="n">
        <v>6</v>
      </c>
      <c r="F582" s="34" t="n">
        <f aca="false">D582*E582</f>
        <v>1068000</v>
      </c>
      <c r="G582" s="33" t="s">
        <v>57</v>
      </c>
      <c r="H582" s="33" t="str">
        <f aca="false">INDEX(Products!$C$2:$C$51,MATCH(C582,Products!$B$2:$B$51,0))</f>
        <v>Naked Bike</v>
      </c>
    </row>
    <row r="583" customFormat="false" ht="15" hidden="false" customHeight="false" outlineLevel="0" collapsed="false">
      <c r="A583" s="32" t="n">
        <v>45861</v>
      </c>
      <c r="B583" s="33" t="s">
        <v>49</v>
      </c>
      <c r="C583" s="33" t="s">
        <v>52</v>
      </c>
      <c r="D583" s="34" t="n">
        <v>398000</v>
      </c>
      <c r="E583" s="33" t="n">
        <v>9</v>
      </c>
      <c r="F583" s="34" t="n">
        <f aca="false">D583*E583</f>
        <v>3582000</v>
      </c>
      <c r="G583" s="33" t="s">
        <v>50</v>
      </c>
      <c r="H583" s="33" t="str">
        <f aca="false">INDEX(Products!$C$2:$C$51,MATCH(C583,Products!$B$2:$B$51,0))</f>
        <v>Cruiser</v>
      </c>
    </row>
    <row r="584" customFormat="false" ht="15" hidden="false" customHeight="false" outlineLevel="0" collapsed="false">
      <c r="A584" s="32" t="n">
        <v>45861</v>
      </c>
      <c r="B584" s="33" t="s">
        <v>49</v>
      </c>
      <c r="C584" s="33" t="s">
        <v>59</v>
      </c>
      <c r="D584" s="34" t="n">
        <v>165000</v>
      </c>
      <c r="E584" s="33" t="n">
        <v>20</v>
      </c>
      <c r="F584" s="34" t="n">
        <f aca="false">D584*E584</f>
        <v>3300000</v>
      </c>
      <c r="G584" s="33" t="s">
        <v>50</v>
      </c>
      <c r="H584" s="33" t="str">
        <f aca="false">INDEX(Products!$C$2:$C$51,MATCH(C584,Products!$B$2:$B$51,0))</f>
        <v>Sport</v>
      </c>
    </row>
    <row r="585" customFormat="false" ht="15" hidden="false" customHeight="false" outlineLevel="0" collapsed="false">
      <c r="A585" s="32" t="n">
        <v>45862</v>
      </c>
      <c r="B585" s="33" t="s">
        <v>49</v>
      </c>
      <c r="C585" s="33" t="s">
        <v>113</v>
      </c>
      <c r="D585" s="34" t="n">
        <v>182000</v>
      </c>
      <c r="E585" s="33" t="n">
        <v>10</v>
      </c>
      <c r="F585" s="34" t="n">
        <f aca="false">D585*E585</f>
        <v>1820000</v>
      </c>
      <c r="G585" s="33" t="s">
        <v>50</v>
      </c>
      <c r="H585" s="33" t="str">
        <f aca="false">INDEX(Products!$C$2:$C$51,MATCH(C585,Products!$B$2:$B$51,0))</f>
        <v>Retro</v>
      </c>
    </row>
    <row r="586" customFormat="false" ht="15" hidden="false" customHeight="false" outlineLevel="0" collapsed="false">
      <c r="A586" s="32" t="n">
        <v>45862</v>
      </c>
      <c r="B586" s="33" t="s">
        <v>49</v>
      </c>
      <c r="C586" s="33" t="s">
        <v>115</v>
      </c>
      <c r="D586" s="34" t="n">
        <v>289000</v>
      </c>
      <c r="E586" s="33" t="n">
        <v>20</v>
      </c>
      <c r="F586" s="34" t="n">
        <f aca="false">D586*E586</f>
        <v>5780000</v>
      </c>
      <c r="G586" s="33" t="s">
        <v>50</v>
      </c>
      <c r="H586" s="33" t="str">
        <f aca="false">INDEX(Products!$C$2:$C$51,MATCH(C586,Products!$B$2:$B$51,0))</f>
        <v>Scooter</v>
      </c>
    </row>
    <row r="587" customFormat="false" ht="15" hidden="false" customHeight="false" outlineLevel="0" collapsed="false">
      <c r="A587" s="32" t="n">
        <v>45862</v>
      </c>
      <c r="B587" s="33" t="s">
        <v>49</v>
      </c>
      <c r="C587" s="33" t="s">
        <v>61</v>
      </c>
      <c r="D587" s="34" t="n">
        <v>299000</v>
      </c>
      <c r="E587" s="33" t="n">
        <v>33</v>
      </c>
      <c r="F587" s="34" t="n">
        <f aca="false">D587*E587</f>
        <v>9867000</v>
      </c>
      <c r="G587" s="33" t="s">
        <v>50</v>
      </c>
      <c r="H587" s="33" t="str">
        <f aca="false">INDEX(Products!$C$2:$C$51,MATCH(C587,Products!$B$2:$B$51,0))</f>
        <v>Dual-Sport</v>
      </c>
    </row>
    <row r="588" customFormat="false" ht="15" hidden="false" customHeight="false" outlineLevel="0" collapsed="false">
      <c r="A588" s="32" t="n">
        <v>45862</v>
      </c>
      <c r="B588" s="33" t="s">
        <v>53</v>
      </c>
      <c r="C588" s="33" t="s">
        <v>122</v>
      </c>
      <c r="D588" s="34" t="n">
        <v>80900</v>
      </c>
      <c r="E588" s="33" t="n">
        <v>19</v>
      </c>
      <c r="F588" s="34" t="n">
        <f aca="false">D588*E588</f>
        <v>1537100</v>
      </c>
      <c r="G588" s="33" t="s">
        <v>57</v>
      </c>
      <c r="H588" s="33" t="str">
        <f aca="false">INDEX(Products!$C$2:$C$51,MATCH(C588,Products!$B$2:$B$51,0))</f>
        <v>Scooter</v>
      </c>
    </row>
    <row r="589" customFormat="false" ht="15" hidden="false" customHeight="false" outlineLevel="0" collapsed="false">
      <c r="A589" s="32" t="n">
        <v>45862</v>
      </c>
      <c r="B589" s="33" t="s">
        <v>53</v>
      </c>
      <c r="C589" s="33" t="s">
        <v>121</v>
      </c>
      <c r="D589" s="34" t="n">
        <v>80900</v>
      </c>
      <c r="E589" s="33" t="n">
        <v>11</v>
      </c>
      <c r="F589" s="34" t="n">
        <f aca="false">D589*E589</f>
        <v>889900</v>
      </c>
      <c r="G589" s="33" t="s">
        <v>54</v>
      </c>
      <c r="H589" s="33" t="str">
        <f aca="false">INDEX(Products!$C$2:$C$51,MATCH(C589,Products!$B$2:$B$51,0))</f>
        <v>Scooter</v>
      </c>
    </row>
    <row r="590" customFormat="false" ht="15" hidden="false" customHeight="false" outlineLevel="0" collapsed="false">
      <c r="A590" s="32" t="n">
        <v>45862</v>
      </c>
      <c r="B590" s="33" t="s">
        <v>53</v>
      </c>
      <c r="C590" s="33" t="s">
        <v>103</v>
      </c>
      <c r="D590" s="34" t="n">
        <v>48000</v>
      </c>
      <c r="E590" s="33" t="n">
        <v>9</v>
      </c>
      <c r="F590" s="34" t="n">
        <f aca="false">D590*E590</f>
        <v>432000</v>
      </c>
      <c r="G590" s="33" t="s">
        <v>50</v>
      </c>
      <c r="H590" s="33" t="str">
        <f aca="false">INDEX(Products!$C$2:$C$51,MATCH(C590,Products!$B$2:$B$51,0))</f>
        <v>Commuter</v>
      </c>
    </row>
    <row r="591" customFormat="false" ht="15" hidden="false" customHeight="false" outlineLevel="0" collapsed="false">
      <c r="A591" s="32" t="n">
        <v>45862</v>
      </c>
      <c r="B591" s="33" t="s">
        <v>53</v>
      </c>
      <c r="C591" s="33" t="s">
        <v>67</v>
      </c>
      <c r="D591" s="34" t="n">
        <v>250000</v>
      </c>
      <c r="E591" s="33" t="n">
        <v>6</v>
      </c>
      <c r="F591" s="34" t="n">
        <f aca="false">D591*E591</f>
        <v>1500000</v>
      </c>
      <c r="G591" s="33" t="s">
        <v>54</v>
      </c>
      <c r="H591" s="33" t="str">
        <f aca="false">INDEX(Products!$C$2:$C$51,MATCH(C591,Products!$B$2:$B$51,0))</f>
        <v>Classic</v>
      </c>
    </row>
    <row r="592" customFormat="false" ht="15" hidden="false" customHeight="false" outlineLevel="0" collapsed="false">
      <c r="A592" s="32" t="n">
        <v>45862</v>
      </c>
      <c r="B592" s="33" t="s">
        <v>49</v>
      </c>
      <c r="C592" s="33" t="s">
        <v>130</v>
      </c>
      <c r="D592" s="34" t="n">
        <v>119900</v>
      </c>
      <c r="E592" s="33" t="n">
        <v>9</v>
      </c>
      <c r="F592" s="34" t="n">
        <f aca="false">D592*E592</f>
        <v>1079100</v>
      </c>
      <c r="G592" s="33" t="s">
        <v>54</v>
      </c>
      <c r="H592" s="33" t="str">
        <f aca="false">INDEX(Products!$C$2:$C$51,MATCH(C592,Products!$B$2:$B$51,0))</f>
        <v>Underbone</v>
      </c>
    </row>
    <row r="593" customFormat="false" ht="15" hidden="false" customHeight="false" outlineLevel="0" collapsed="false">
      <c r="A593" s="32" t="n">
        <v>45862</v>
      </c>
      <c r="B593" s="33" t="s">
        <v>49</v>
      </c>
      <c r="C593" s="33" t="s">
        <v>51</v>
      </c>
      <c r="D593" s="34" t="n">
        <v>689000</v>
      </c>
      <c r="E593" s="33" t="n">
        <v>12</v>
      </c>
      <c r="F593" s="34" t="n">
        <f aca="false">D593*E593</f>
        <v>8268000</v>
      </c>
      <c r="G593" s="33" t="s">
        <v>50</v>
      </c>
      <c r="H593" s="33" t="str">
        <f aca="false">INDEX(Products!$C$2:$C$51,MATCH(C593,Products!$B$2:$B$51,0))</f>
        <v>Heritage</v>
      </c>
    </row>
    <row r="594" customFormat="false" ht="15" hidden="false" customHeight="false" outlineLevel="0" collapsed="false">
      <c r="A594" s="32" t="n">
        <v>45862</v>
      </c>
      <c r="B594" s="33" t="s">
        <v>53</v>
      </c>
      <c r="C594" s="33" t="s">
        <v>109</v>
      </c>
      <c r="D594" s="34" t="n">
        <v>178000</v>
      </c>
      <c r="E594" s="33" t="n">
        <v>24</v>
      </c>
      <c r="F594" s="34" t="n">
        <f aca="false">D594*E594</f>
        <v>4272000</v>
      </c>
      <c r="G594" s="33" t="s">
        <v>54</v>
      </c>
      <c r="H594" s="33" t="str">
        <f aca="false">INDEX(Products!$C$2:$C$51,MATCH(C594,Products!$B$2:$B$51,0))</f>
        <v>Naked Bike</v>
      </c>
    </row>
    <row r="595" customFormat="false" ht="15" hidden="false" customHeight="false" outlineLevel="0" collapsed="false">
      <c r="A595" s="32" t="n">
        <v>45862</v>
      </c>
      <c r="B595" s="33" t="s">
        <v>49</v>
      </c>
      <c r="C595" s="33" t="s">
        <v>100</v>
      </c>
      <c r="D595" s="34" t="n">
        <v>78900</v>
      </c>
      <c r="E595" s="33" t="n">
        <v>12</v>
      </c>
      <c r="F595" s="34" t="n">
        <f aca="false">D595*E595</f>
        <v>946800</v>
      </c>
      <c r="G595" s="33" t="s">
        <v>50</v>
      </c>
      <c r="H595" s="33" t="str">
        <f aca="false">INDEX(Products!$C$2:$C$51,MATCH(C595,Products!$B$2:$B$51,0))</f>
        <v>Adventure</v>
      </c>
    </row>
    <row r="596" customFormat="false" ht="15" hidden="false" customHeight="false" outlineLevel="0" collapsed="false">
      <c r="A596" s="32" t="n">
        <v>45862</v>
      </c>
      <c r="B596" s="33" t="s">
        <v>49</v>
      </c>
      <c r="C596" s="33" t="s">
        <v>59</v>
      </c>
      <c r="D596" s="34" t="n">
        <v>165000</v>
      </c>
      <c r="E596" s="33" t="n">
        <v>42</v>
      </c>
      <c r="F596" s="34" t="n">
        <f aca="false">D596*E596</f>
        <v>6930000</v>
      </c>
      <c r="G596" s="33" t="s">
        <v>57</v>
      </c>
      <c r="H596" s="33" t="str">
        <f aca="false">INDEX(Products!$C$2:$C$51,MATCH(C596,Products!$B$2:$B$51,0))</f>
        <v>Sport</v>
      </c>
    </row>
    <row r="597" customFormat="false" ht="15" hidden="false" customHeight="false" outlineLevel="0" collapsed="false">
      <c r="A597" s="32" t="n">
        <v>45863</v>
      </c>
      <c r="B597" s="33" t="s">
        <v>49</v>
      </c>
      <c r="C597" s="33" t="s">
        <v>119</v>
      </c>
      <c r="D597" s="34" t="n">
        <v>128000</v>
      </c>
      <c r="E597" s="33" t="n">
        <v>18</v>
      </c>
      <c r="F597" s="34" t="n">
        <f aca="false">D597*E597</f>
        <v>2304000</v>
      </c>
      <c r="G597" s="33" t="s">
        <v>54</v>
      </c>
      <c r="H597" s="33" t="str">
        <f aca="false">INDEX(Products!$C$2:$C$51,MATCH(C597,Products!$B$2:$B$51,0))</f>
        <v>Scooter</v>
      </c>
    </row>
    <row r="598" customFormat="false" ht="15" hidden="false" customHeight="false" outlineLevel="0" collapsed="false">
      <c r="A598" s="32" t="n">
        <v>45863</v>
      </c>
      <c r="B598" s="33" t="s">
        <v>53</v>
      </c>
      <c r="C598" s="33" t="s">
        <v>55</v>
      </c>
      <c r="D598" s="34" t="n">
        <v>67900</v>
      </c>
      <c r="E598" s="33" t="n">
        <v>3</v>
      </c>
      <c r="F598" s="34" t="n">
        <f aca="false">D598*E598</f>
        <v>203700</v>
      </c>
      <c r="G598" s="33" t="s">
        <v>57</v>
      </c>
      <c r="H598" s="33" t="str">
        <f aca="false">INDEX(Products!$C$2:$C$51,MATCH(C598,Products!$B$2:$B$51,0))</f>
        <v>Commuter</v>
      </c>
    </row>
    <row r="599" customFormat="false" ht="15" hidden="false" customHeight="false" outlineLevel="0" collapsed="false">
      <c r="A599" s="32" t="n">
        <v>45863</v>
      </c>
      <c r="B599" s="33" t="s">
        <v>49</v>
      </c>
      <c r="C599" s="33" t="s">
        <v>55</v>
      </c>
      <c r="D599" s="34" t="n">
        <v>67900</v>
      </c>
      <c r="E599" s="33" t="n">
        <v>11</v>
      </c>
      <c r="F599" s="34" t="n">
        <f aca="false">D599*E599</f>
        <v>746900</v>
      </c>
      <c r="G599" s="33" t="s">
        <v>57</v>
      </c>
      <c r="H599" s="33" t="str">
        <f aca="false">INDEX(Products!$C$2:$C$51,MATCH(C599,Products!$B$2:$B$51,0))</f>
        <v>Commuter</v>
      </c>
    </row>
    <row r="600" customFormat="false" ht="15" hidden="false" customHeight="false" outlineLevel="0" collapsed="false">
      <c r="A600" s="32" t="n">
        <v>45863</v>
      </c>
      <c r="B600" s="33" t="s">
        <v>49</v>
      </c>
      <c r="C600" s="33" t="s">
        <v>68</v>
      </c>
      <c r="D600" s="34" t="n">
        <v>389000</v>
      </c>
      <c r="E600" s="33" t="n">
        <v>16</v>
      </c>
      <c r="F600" s="34" t="n">
        <f aca="false">D600*E600</f>
        <v>6224000</v>
      </c>
      <c r="G600" s="33" t="s">
        <v>50</v>
      </c>
      <c r="H600" s="33" t="str">
        <f aca="false">INDEX(Products!$C$2:$C$51,MATCH(C600,Products!$B$2:$B$51,0))</f>
        <v>Sport</v>
      </c>
    </row>
    <row r="601" customFormat="false" ht="15" hidden="false" customHeight="false" outlineLevel="0" collapsed="false">
      <c r="A601" s="32" t="n">
        <v>45863</v>
      </c>
      <c r="B601" s="33" t="s">
        <v>53</v>
      </c>
      <c r="C601" s="33" t="s">
        <v>111</v>
      </c>
      <c r="D601" s="34" t="n">
        <v>129000</v>
      </c>
      <c r="E601" s="33" t="n">
        <v>33</v>
      </c>
      <c r="F601" s="34" t="n">
        <f aca="false">D601*E601</f>
        <v>4257000</v>
      </c>
      <c r="G601" s="33" t="s">
        <v>54</v>
      </c>
      <c r="H601" s="33" t="str">
        <f aca="false">INDEX(Products!$C$2:$C$51,MATCH(C601,Products!$B$2:$B$51,0))</f>
        <v>Naked Bike</v>
      </c>
    </row>
    <row r="602" customFormat="false" ht="15" hidden="false" customHeight="false" outlineLevel="0" collapsed="false">
      <c r="A602" s="32" t="n">
        <v>45863</v>
      </c>
      <c r="B602" s="33" t="s">
        <v>49</v>
      </c>
      <c r="C602" s="33" t="s">
        <v>102</v>
      </c>
      <c r="D602" s="34" t="n">
        <v>269000</v>
      </c>
      <c r="E602" s="33" t="n">
        <v>1</v>
      </c>
      <c r="F602" s="34" t="n">
        <f aca="false">D602*E602</f>
        <v>269000</v>
      </c>
      <c r="G602" s="33" t="s">
        <v>54</v>
      </c>
      <c r="H602" s="33" t="str">
        <f aca="false">INDEX(Products!$C$2:$C$51,MATCH(C602,Products!$B$2:$B$51,0))</f>
        <v>Cafe Racer</v>
      </c>
    </row>
    <row r="603" customFormat="false" ht="15" hidden="false" customHeight="false" outlineLevel="0" collapsed="false">
      <c r="A603" s="32" t="n">
        <v>45863</v>
      </c>
      <c r="B603" s="33" t="s">
        <v>49</v>
      </c>
      <c r="C603" s="33" t="s">
        <v>71</v>
      </c>
      <c r="D603" s="34" t="n">
        <v>165000</v>
      </c>
      <c r="E603" s="33" t="n">
        <v>28</v>
      </c>
      <c r="F603" s="34" t="n">
        <f aca="false">D603*E603</f>
        <v>4620000</v>
      </c>
      <c r="G603" s="33" t="s">
        <v>50</v>
      </c>
      <c r="H603" s="33" t="str">
        <f aca="false">INDEX(Products!$C$2:$C$51,MATCH(C603,Products!$B$2:$B$51,0))</f>
        <v>Naked Bike</v>
      </c>
    </row>
    <row r="604" customFormat="false" ht="15" hidden="false" customHeight="false" outlineLevel="0" collapsed="false">
      <c r="A604" s="32" t="n">
        <v>45863</v>
      </c>
      <c r="B604" s="33" t="s">
        <v>53</v>
      </c>
      <c r="C604" s="33" t="s">
        <v>64</v>
      </c>
      <c r="D604" s="34" t="n">
        <v>248000</v>
      </c>
      <c r="E604" s="33" t="n">
        <v>25</v>
      </c>
      <c r="F604" s="34" t="n">
        <f aca="false">D604*E604</f>
        <v>6200000</v>
      </c>
      <c r="G604" s="33" t="s">
        <v>54</v>
      </c>
      <c r="H604" s="33" t="str">
        <f aca="false">INDEX(Products!$C$2:$C$51,MATCH(C604,Products!$B$2:$B$51,0))</f>
        <v>Adventure</v>
      </c>
    </row>
    <row r="605" customFormat="false" ht="15" hidden="false" customHeight="false" outlineLevel="0" collapsed="false">
      <c r="A605" s="32" t="n">
        <v>45863</v>
      </c>
      <c r="B605" s="33" t="s">
        <v>49</v>
      </c>
      <c r="C605" s="33" t="s">
        <v>100</v>
      </c>
      <c r="D605" s="34" t="n">
        <v>78900</v>
      </c>
      <c r="E605" s="33" t="n">
        <v>4</v>
      </c>
      <c r="F605" s="34" t="n">
        <f aca="false">D605*E605</f>
        <v>315600</v>
      </c>
      <c r="G605" s="33" t="s">
        <v>54</v>
      </c>
      <c r="H605" s="33" t="str">
        <f aca="false">INDEX(Products!$C$2:$C$51,MATCH(C605,Products!$B$2:$B$51,0))</f>
        <v>Adventure</v>
      </c>
    </row>
    <row r="606" customFormat="false" ht="15" hidden="false" customHeight="false" outlineLevel="0" collapsed="false">
      <c r="A606" s="32" t="n">
        <v>45864</v>
      </c>
      <c r="B606" s="33" t="s">
        <v>53</v>
      </c>
      <c r="C606" s="33" t="s">
        <v>123</v>
      </c>
      <c r="D606" s="34" t="n">
        <v>79900</v>
      </c>
      <c r="E606" s="33" t="n">
        <v>5</v>
      </c>
      <c r="F606" s="34" t="n">
        <f aca="false">D606*E606</f>
        <v>399500</v>
      </c>
      <c r="G606" s="33" t="s">
        <v>50</v>
      </c>
      <c r="H606" s="33" t="str">
        <f aca="false">INDEX(Products!$C$2:$C$51,MATCH(C606,Products!$B$2:$B$51,0))</f>
        <v>Scooter</v>
      </c>
    </row>
    <row r="607" customFormat="false" ht="15" hidden="false" customHeight="false" outlineLevel="0" collapsed="false">
      <c r="A607" s="32" t="n">
        <v>45864</v>
      </c>
      <c r="B607" s="33" t="s">
        <v>49</v>
      </c>
      <c r="C607" s="33" t="s">
        <v>111</v>
      </c>
      <c r="D607" s="34" t="n">
        <v>129000</v>
      </c>
      <c r="E607" s="33" t="n">
        <v>7</v>
      </c>
      <c r="F607" s="34" t="n">
        <f aca="false">D607*E607</f>
        <v>903000</v>
      </c>
      <c r="G607" s="33" t="s">
        <v>50</v>
      </c>
      <c r="H607" s="33" t="str">
        <f aca="false">INDEX(Products!$C$2:$C$51,MATCH(C607,Products!$B$2:$B$51,0))</f>
        <v>Naked Bike</v>
      </c>
    </row>
    <row r="608" customFormat="false" ht="15" hidden="false" customHeight="false" outlineLevel="0" collapsed="false">
      <c r="A608" s="32" t="n">
        <v>45864</v>
      </c>
      <c r="B608" s="33" t="s">
        <v>49</v>
      </c>
      <c r="C608" s="33" t="s">
        <v>68</v>
      </c>
      <c r="D608" s="34" t="n">
        <v>389000</v>
      </c>
      <c r="E608" s="33" t="n">
        <v>19</v>
      </c>
      <c r="F608" s="34" t="n">
        <f aca="false">D608*E608</f>
        <v>7391000</v>
      </c>
      <c r="G608" s="33" t="s">
        <v>54</v>
      </c>
      <c r="H608" s="33" t="str">
        <f aca="false">INDEX(Products!$C$2:$C$51,MATCH(C608,Products!$B$2:$B$51,0))</f>
        <v>Sport</v>
      </c>
    </row>
    <row r="609" customFormat="false" ht="15" hidden="false" customHeight="false" outlineLevel="0" collapsed="false">
      <c r="A609" s="32" t="n">
        <v>45864</v>
      </c>
      <c r="B609" s="33" t="s">
        <v>49</v>
      </c>
      <c r="C609" s="33" t="s">
        <v>63</v>
      </c>
      <c r="D609" s="34" t="n">
        <v>99900</v>
      </c>
      <c r="E609" s="33" t="n">
        <v>6</v>
      </c>
      <c r="F609" s="34" t="n">
        <f aca="false">D609*E609</f>
        <v>599400</v>
      </c>
      <c r="G609" s="33" t="s">
        <v>50</v>
      </c>
      <c r="H609" s="33" t="str">
        <f aca="false">INDEX(Products!$C$2:$C$51,MATCH(C609,Products!$B$2:$B$51,0))</f>
        <v>Street</v>
      </c>
    </row>
    <row r="610" customFormat="false" ht="15" hidden="false" customHeight="false" outlineLevel="0" collapsed="false">
      <c r="A610" s="32" t="n">
        <v>45864</v>
      </c>
      <c r="B610" s="33" t="s">
        <v>49</v>
      </c>
      <c r="C610" s="33" t="s">
        <v>126</v>
      </c>
      <c r="D610" s="34" t="n">
        <v>198000</v>
      </c>
      <c r="E610" s="33" t="n">
        <v>37</v>
      </c>
      <c r="F610" s="34" t="n">
        <f aca="false">D610*E610</f>
        <v>7326000</v>
      </c>
      <c r="G610" s="33" t="s">
        <v>50</v>
      </c>
      <c r="H610" s="33" t="str">
        <f aca="false">INDEX(Products!$C$2:$C$51,MATCH(C610,Products!$B$2:$B$51,0))</f>
        <v>Sport</v>
      </c>
    </row>
    <row r="611" customFormat="false" ht="15" hidden="false" customHeight="false" outlineLevel="0" collapsed="false">
      <c r="A611" s="32" t="n">
        <v>45864</v>
      </c>
      <c r="B611" s="33" t="s">
        <v>49</v>
      </c>
      <c r="C611" s="33" t="s">
        <v>71</v>
      </c>
      <c r="D611" s="34" t="n">
        <v>165000</v>
      </c>
      <c r="E611" s="33" t="n">
        <v>8</v>
      </c>
      <c r="F611" s="34" t="n">
        <f aca="false">D611*E611</f>
        <v>1320000</v>
      </c>
      <c r="G611" s="33" t="s">
        <v>50</v>
      </c>
      <c r="H611" s="33" t="str">
        <f aca="false">INDEX(Products!$C$2:$C$51,MATCH(C611,Products!$B$2:$B$51,0))</f>
        <v>Naked Bike</v>
      </c>
    </row>
    <row r="612" customFormat="false" ht="15" hidden="false" customHeight="false" outlineLevel="0" collapsed="false">
      <c r="A612" s="32" t="n">
        <v>45864</v>
      </c>
      <c r="B612" s="33" t="s">
        <v>49</v>
      </c>
      <c r="C612" s="33" t="s">
        <v>52</v>
      </c>
      <c r="D612" s="34" t="n">
        <v>398000</v>
      </c>
      <c r="E612" s="33" t="n">
        <v>18</v>
      </c>
      <c r="F612" s="34" t="n">
        <f aca="false">D612*E612</f>
        <v>7164000</v>
      </c>
      <c r="G612" s="33" t="s">
        <v>54</v>
      </c>
      <c r="H612" s="33" t="str">
        <f aca="false">INDEX(Products!$C$2:$C$51,MATCH(C612,Products!$B$2:$B$51,0))</f>
        <v>Cruiser</v>
      </c>
    </row>
    <row r="613" customFormat="false" ht="15" hidden="false" customHeight="false" outlineLevel="0" collapsed="false">
      <c r="A613" s="32" t="n">
        <v>45864</v>
      </c>
      <c r="B613" s="33" t="s">
        <v>53</v>
      </c>
      <c r="C613" s="33" t="s">
        <v>51</v>
      </c>
      <c r="D613" s="34" t="n">
        <v>689000</v>
      </c>
      <c r="E613" s="33" t="n">
        <v>14</v>
      </c>
      <c r="F613" s="34" t="n">
        <f aca="false">D613*E613</f>
        <v>9646000</v>
      </c>
      <c r="G613" s="33" t="s">
        <v>54</v>
      </c>
      <c r="H613" s="33" t="str">
        <f aca="false">INDEX(Products!$C$2:$C$51,MATCH(C613,Products!$B$2:$B$51,0))</f>
        <v>Heritage</v>
      </c>
    </row>
    <row r="614" customFormat="false" ht="15" hidden="false" customHeight="false" outlineLevel="0" collapsed="false">
      <c r="A614" s="32" t="n">
        <v>45864</v>
      </c>
      <c r="B614" s="33" t="s">
        <v>49</v>
      </c>
      <c r="C614" s="33" t="s">
        <v>123</v>
      </c>
      <c r="D614" s="34" t="n">
        <v>79900</v>
      </c>
      <c r="E614" s="33" t="n">
        <v>6</v>
      </c>
      <c r="F614" s="34" t="n">
        <f aca="false">D614*E614</f>
        <v>479400</v>
      </c>
      <c r="G614" s="33" t="s">
        <v>54</v>
      </c>
      <c r="H614" s="33" t="str">
        <f aca="false">INDEX(Products!$C$2:$C$51,MATCH(C614,Products!$B$2:$B$51,0))</f>
        <v>Scooter</v>
      </c>
    </row>
    <row r="615" customFormat="false" ht="15" hidden="false" customHeight="false" outlineLevel="0" collapsed="false">
      <c r="A615" s="32" t="n">
        <v>45864</v>
      </c>
      <c r="B615" s="33" t="s">
        <v>53</v>
      </c>
      <c r="C615" s="33" t="s">
        <v>131</v>
      </c>
      <c r="D615" s="34" t="n">
        <v>72900</v>
      </c>
      <c r="E615" s="33" t="n">
        <v>11</v>
      </c>
      <c r="F615" s="34" t="n">
        <f aca="false">D615*E615</f>
        <v>801900</v>
      </c>
      <c r="G615" s="33" t="s">
        <v>57</v>
      </c>
      <c r="H615" s="33" t="str">
        <f aca="false">INDEX(Products!$C$2:$C$51,MATCH(C615,Products!$B$2:$B$51,0))</f>
        <v>Underbone</v>
      </c>
    </row>
    <row r="616" customFormat="false" ht="15" hidden="false" customHeight="false" outlineLevel="0" collapsed="false">
      <c r="A616" s="32" t="n">
        <v>45865</v>
      </c>
      <c r="B616" s="33" t="s">
        <v>53</v>
      </c>
      <c r="C616" s="33" t="s">
        <v>104</v>
      </c>
      <c r="D616" s="34" t="n">
        <v>499000</v>
      </c>
      <c r="E616" s="33" t="n">
        <v>22</v>
      </c>
      <c r="F616" s="34" t="n">
        <f aca="false">D616*E616</f>
        <v>10978000</v>
      </c>
      <c r="G616" s="33" t="s">
        <v>57</v>
      </c>
      <c r="H616" s="33" t="str">
        <f aca="false">INDEX(Products!$C$2:$C$51,MATCH(C616,Products!$B$2:$B$51,0))</f>
        <v>Cruiser</v>
      </c>
    </row>
    <row r="617" customFormat="false" ht="15" hidden="false" customHeight="false" outlineLevel="0" collapsed="false">
      <c r="A617" s="32" t="n">
        <v>45865</v>
      </c>
      <c r="B617" s="33" t="s">
        <v>49</v>
      </c>
      <c r="C617" s="33" t="s">
        <v>126</v>
      </c>
      <c r="D617" s="34" t="n">
        <v>198000</v>
      </c>
      <c r="E617" s="33" t="n">
        <v>7</v>
      </c>
      <c r="F617" s="34" t="n">
        <f aca="false">D617*E617</f>
        <v>1386000</v>
      </c>
      <c r="G617" s="33" t="s">
        <v>50</v>
      </c>
      <c r="H617" s="33" t="str">
        <f aca="false">INDEX(Products!$C$2:$C$51,MATCH(C617,Products!$B$2:$B$51,0))</f>
        <v>Sport</v>
      </c>
    </row>
    <row r="618" customFormat="false" ht="15" hidden="false" customHeight="false" outlineLevel="0" collapsed="false">
      <c r="A618" s="32" t="n">
        <v>45865</v>
      </c>
      <c r="B618" s="33" t="s">
        <v>53</v>
      </c>
      <c r="C618" s="33" t="s">
        <v>64</v>
      </c>
      <c r="D618" s="34" t="n">
        <v>248000</v>
      </c>
      <c r="E618" s="33" t="n">
        <v>29</v>
      </c>
      <c r="F618" s="34" t="n">
        <f aca="false">D618*E618</f>
        <v>7192000</v>
      </c>
      <c r="G618" s="33" t="s">
        <v>50</v>
      </c>
      <c r="H618" s="33" t="str">
        <f aca="false">INDEX(Products!$C$2:$C$51,MATCH(C618,Products!$B$2:$B$51,0))</f>
        <v>Adventure</v>
      </c>
    </row>
    <row r="619" customFormat="false" ht="15" hidden="false" customHeight="false" outlineLevel="0" collapsed="false">
      <c r="A619" s="32" t="n">
        <v>45865</v>
      </c>
      <c r="B619" s="33" t="s">
        <v>49</v>
      </c>
      <c r="C619" s="33" t="s">
        <v>99</v>
      </c>
      <c r="D619" s="34" t="n">
        <v>369000</v>
      </c>
      <c r="E619" s="33" t="n">
        <v>32</v>
      </c>
      <c r="F619" s="34" t="n">
        <f aca="false">D619*E619</f>
        <v>11808000</v>
      </c>
      <c r="G619" s="33" t="s">
        <v>54</v>
      </c>
      <c r="H619" s="33" t="str">
        <f aca="false">INDEX(Products!$C$2:$C$51,MATCH(C619,Products!$B$2:$B$51,0))</f>
        <v>Adventure</v>
      </c>
    </row>
    <row r="620" customFormat="false" ht="15" hidden="false" customHeight="false" outlineLevel="0" collapsed="false">
      <c r="A620" s="32" t="n">
        <v>45865</v>
      </c>
      <c r="B620" s="33" t="s">
        <v>53</v>
      </c>
      <c r="C620" s="33" t="s">
        <v>59</v>
      </c>
      <c r="D620" s="34" t="n">
        <v>165000</v>
      </c>
      <c r="E620" s="33" t="n">
        <v>28</v>
      </c>
      <c r="F620" s="34" t="n">
        <f aca="false">D620*E620</f>
        <v>4620000</v>
      </c>
      <c r="G620" s="33" t="s">
        <v>57</v>
      </c>
      <c r="H620" s="33" t="str">
        <f aca="false">INDEX(Products!$C$2:$C$51,MATCH(C620,Products!$B$2:$B$51,0))</f>
        <v>Sport</v>
      </c>
    </row>
    <row r="621" customFormat="false" ht="15" hidden="false" customHeight="false" outlineLevel="0" collapsed="false">
      <c r="A621" s="32" t="n">
        <v>45865</v>
      </c>
      <c r="B621" s="33" t="s">
        <v>53</v>
      </c>
      <c r="C621" s="33" t="s">
        <v>129</v>
      </c>
      <c r="D621" s="34" t="n">
        <v>125900</v>
      </c>
      <c r="E621" s="33" t="n">
        <v>16</v>
      </c>
      <c r="F621" s="34" t="n">
        <f aca="false">D621*E621</f>
        <v>2014400</v>
      </c>
      <c r="G621" s="33" t="s">
        <v>54</v>
      </c>
      <c r="H621" s="33" t="str">
        <f aca="false">INDEX(Products!$C$2:$C$51,MATCH(C621,Products!$B$2:$B$51,0))</f>
        <v>Underbone</v>
      </c>
    </row>
    <row r="622" customFormat="false" ht="15" hidden="false" customHeight="false" outlineLevel="0" collapsed="false">
      <c r="A622" s="32" t="n">
        <v>45865</v>
      </c>
      <c r="B622" s="33" t="s">
        <v>49</v>
      </c>
      <c r="C622" s="33" t="s">
        <v>124</v>
      </c>
      <c r="D622" s="34" t="n">
        <v>295000</v>
      </c>
      <c r="E622" s="33" t="n">
        <v>34</v>
      </c>
      <c r="F622" s="34" t="n">
        <f aca="false">D622*E622</f>
        <v>10030000</v>
      </c>
      <c r="G622" s="33" t="s">
        <v>50</v>
      </c>
      <c r="H622" s="33" t="str">
        <f aca="false">INDEX(Products!$C$2:$C$51,MATCH(C622,Products!$B$2:$B$51,0))</f>
        <v>Scrambler</v>
      </c>
    </row>
    <row r="623" customFormat="false" ht="15" hidden="false" customHeight="false" outlineLevel="0" collapsed="false">
      <c r="A623" s="32" t="n">
        <v>45865</v>
      </c>
      <c r="B623" s="33" t="s">
        <v>53</v>
      </c>
      <c r="C623" s="33" t="s">
        <v>127</v>
      </c>
      <c r="D623" s="34" t="n">
        <v>199900</v>
      </c>
      <c r="E623" s="33" t="n">
        <v>31</v>
      </c>
      <c r="F623" s="34" t="n">
        <f aca="false">D623*E623</f>
        <v>6196900</v>
      </c>
      <c r="G623" s="33" t="s">
        <v>54</v>
      </c>
      <c r="H623" s="33" t="str">
        <f aca="false">INDEX(Products!$C$2:$C$51,MATCH(C623,Products!$B$2:$B$51,0))</f>
        <v>Sport Touring</v>
      </c>
    </row>
    <row r="624" customFormat="false" ht="15" hidden="false" customHeight="false" outlineLevel="0" collapsed="false">
      <c r="A624" s="32" t="n">
        <v>45865</v>
      </c>
      <c r="B624" s="33" t="s">
        <v>53</v>
      </c>
      <c r="C624" s="33" t="s">
        <v>107</v>
      </c>
      <c r="D624" s="34" t="n">
        <v>199000</v>
      </c>
      <c r="E624" s="33" t="n">
        <v>8</v>
      </c>
      <c r="F624" s="34" t="n">
        <f aca="false">D624*E624</f>
        <v>1592000</v>
      </c>
      <c r="G624" s="33" t="s">
        <v>50</v>
      </c>
      <c r="H624" s="33" t="str">
        <f aca="false">INDEX(Products!$C$2:$C$51,MATCH(C624,Products!$B$2:$B$51,0))</f>
        <v>Dual-Sport</v>
      </c>
    </row>
    <row r="625" customFormat="false" ht="15" hidden="false" customHeight="false" outlineLevel="0" collapsed="false">
      <c r="A625" s="32" t="n">
        <v>45865</v>
      </c>
      <c r="B625" s="33" t="s">
        <v>49</v>
      </c>
      <c r="C625" s="33" t="s">
        <v>107</v>
      </c>
      <c r="D625" s="34" t="n">
        <v>199000</v>
      </c>
      <c r="E625" s="33" t="n">
        <v>1</v>
      </c>
      <c r="F625" s="34" t="n">
        <f aca="false">D625*E625</f>
        <v>199000</v>
      </c>
      <c r="G625" s="33" t="s">
        <v>57</v>
      </c>
      <c r="H625" s="33" t="str">
        <f aca="false">INDEX(Products!$C$2:$C$51,MATCH(C625,Products!$B$2:$B$51,0))</f>
        <v>Dual-Sport</v>
      </c>
    </row>
    <row r="626" customFormat="false" ht="15" hidden="false" customHeight="false" outlineLevel="0" collapsed="false">
      <c r="A626" s="32" t="n">
        <v>45866</v>
      </c>
      <c r="B626" s="33" t="s">
        <v>53</v>
      </c>
      <c r="C626" s="33" t="s">
        <v>55</v>
      </c>
      <c r="D626" s="34" t="n">
        <v>67900</v>
      </c>
      <c r="E626" s="33" t="n">
        <v>30</v>
      </c>
      <c r="F626" s="34" t="n">
        <f aca="false">D626*E626</f>
        <v>2037000</v>
      </c>
      <c r="G626" s="33" t="s">
        <v>50</v>
      </c>
      <c r="H626" s="33" t="str">
        <f aca="false">INDEX(Products!$C$2:$C$51,MATCH(C626,Products!$B$2:$B$51,0))</f>
        <v>Commuter</v>
      </c>
    </row>
    <row r="627" customFormat="false" ht="15" hidden="false" customHeight="false" outlineLevel="0" collapsed="false">
      <c r="A627" s="32" t="n">
        <v>45866</v>
      </c>
      <c r="B627" s="33" t="s">
        <v>53</v>
      </c>
      <c r="C627" s="33" t="s">
        <v>101</v>
      </c>
      <c r="D627" s="34" t="n">
        <v>328000</v>
      </c>
      <c r="E627" s="33" t="n">
        <v>43</v>
      </c>
      <c r="F627" s="34" t="n">
        <f aca="false">D627*E627</f>
        <v>14104000</v>
      </c>
      <c r="G627" s="33" t="s">
        <v>54</v>
      </c>
      <c r="H627" s="33" t="str">
        <f aca="false">INDEX(Products!$C$2:$C$51,MATCH(C627,Products!$B$2:$B$51,0))</f>
        <v>Cafe Racer</v>
      </c>
    </row>
    <row r="628" customFormat="false" ht="15" hidden="false" customHeight="false" outlineLevel="0" collapsed="false">
      <c r="A628" s="32" t="n">
        <v>45866</v>
      </c>
      <c r="B628" s="33" t="s">
        <v>53</v>
      </c>
      <c r="C628" s="33" t="s">
        <v>124</v>
      </c>
      <c r="D628" s="34" t="n">
        <v>295000</v>
      </c>
      <c r="E628" s="33" t="n">
        <v>17</v>
      </c>
      <c r="F628" s="34" t="n">
        <f aca="false">D628*E628</f>
        <v>5015000</v>
      </c>
      <c r="G628" s="33" t="s">
        <v>50</v>
      </c>
      <c r="H628" s="33" t="str">
        <f aca="false">INDEX(Products!$C$2:$C$51,MATCH(C628,Products!$B$2:$B$51,0))</f>
        <v>Scrambler</v>
      </c>
    </row>
    <row r="629" customFormat="false" ht="15" hidden="false" customHeight="false" outlineLevel="0" collapsed="false">
      <c r="A629" s="32" t="n">
        <v>45866</v>
      </c>
      <c r="B629" s="33" t="s">
        <v>49</v>
      </c>
      <c r="C629" s="33" t="s">
        <v>131</v>
      </c>
      <c r="D629" s="34" t="n">
        <v>72900</v>
      </c>
      <c r="E629" s="33" t="n">
        <v>2</v>
      </c>
      <c r="F629" s="34" t="n">
        <f aca="false">D629*E629</f>
        <v>145800</v>
      </c>
      <c r="G629" s="33" t="s">
        <v>50</v>
      </c>
      <c r="H629" s="33" t="str">
        <f aca="false">INDEX(Products!$C$2:$C$51,MATCH(C629,Products!$B$2:$B$51,0))</f>
        <v>Underbone</v>
      </c>
    </row>
    <row r="630" customFormat="false" ht="15" hidden="false" customHeight="false" outlineLevel="0" collapsed="false">
      <c r="A630" s="32" t="n">
        <v>45866</v>
      </c>
      <c r="B630" s="33" t="s">
        <v>53</v>
      </c>
      <c r="C630" s="33" t="s">
        <v>68</v>
      </c>
      <c r="D630" s="34" t="n">
        <v>389000</v>
      </c>
      <c r="E630" s="33" t="n">
        <v>9</v>
      </c>
      <c r="F630" s="34" t="n">
        <f aca="false">D630*E630</f>
        <v>3501000</v>
      </c>
      <c r="G630" s="33" t="s">
        <v>50</v>
      </c>
      <c r="H630" s="33" t="str">
        <f aca="false">INDEX(Products!$C$2:$C$51,MATCH(C630,Products!$B$2:$B$51,0))</f>
        <v>Sport</v>
      </c>
    </row>
    <row r="631" customFormat="false" ht="15" hidden="false" customHeight="false" outlineLevel="0" collapsed="false">
      <c r="A631" s="32" t="n">
        <v>45866</v>
      </c>
      <c r="B631" s="33" t="s">
        <v>49</v>
      </c>
      <c r="C631" s="33" t="s">
        <v>66</v>
      </c>
      <c r="D631" s="34" t="n">
        <v>398000</v>
      </c>
      <c r="E631" s="33" t="n">
        <v>24</v>
      </c>
      <c r="F631" s="34" t="n">
        <f aca="false">D631*E631</f>
        <v>9552000</v>
      </c>
      <c r="G631" s="33" t="s">
        <v>50</v>
      </c>
      <c r="H631" s="33" t="str">
        <f aca="false">INDEX(Products!$C$2:$C$51,MATCH(C631,Products!$B$2:$B$51,0))</f>
        <v>Scooter</v>
      </c>
    </row>
    <row r="632" customFormat="false" ht="15" hidden="false" customHeight="false" outlineLevel="0" collapsed="false">
      <c r="A632" s="32" t="n">
        <v>45866</v>
      </c>
      <c r="B632" s="33" t="s">
        <v>49</v>
      </c>
      <c r="C632" s="33" t="s">
        <v>64</v>
      </c>
      <c r="D632" s="34" t="n">
        <v>248000</v>
      </c>
      <c r="E632" s="33" t="n">
        <v>3</v>
      </c>
      <c r="F632" s="34" t="n">
        <f aca="false">D632*E632</f>
        <v>744000</v>
      </c>
      <c r="G632" s="33" t="s">
        <v>57</v>
      </c>
      <c r="H632" s="33" t="str">
        <f aca="false">INDEX(Products!$C$2:$C$51,MATCH(C632,Products!$B$2:$B$51,0))</f>
        <v>Adventure</v>
      </c>
    </row>
    <row r="633" customFormat="false" ht="15" hidden="false" customHeight="false" outlineLevel="0" collapsed="false">
      <c r="A633" s="32" t="n">
        <v>45866</v>
      </c>
      <c r="B633" s="33" t="s">
        <v>53</v>
      </c>
      <c r="C633" s="33" t="s">
        <v>127</v>
      </c>
      <c r="D633" s="34" t="n">
        <v>199900</v>
      </c>
      <c r="E633" s="33" t="n">
        <v>46</v>
      </c>
      <c r="F633" s="34" t="n">
        <f aca="false">D633*E633</f>
        <v>9195400</v>
      </c>
      <c r="G633" s="33" t="s">
        <v>57</v>
      </c>
      <c r="H633" s="33" t="str">
        <f aca="false">INDEX(Products!$C$2:$C$51,MATCH(C633,Products!$B$2:$B$51,0))</f>
        <v>Sport Touring</v>
      </c>
    </row>
    <row r="634" customFormat="false" ht="15" hidden="false" customHeight="false" outlineLevel="0" collapsed="false">
      <c r="A634" s="32" t="n">
        <v>45866</v>
      </c>
      <c r="B634" s="33" t="s">
        <v>49</v>
      </c>
      <c r="C634" s="33" t="s">
        <v>67</v>
      </c>
      <c r="D634" s="34" t="n">
        <v>250000</v>
      </c>
      <c r="E634" s="33" t="n">
        <v>17</v>
      </c>
      <c r="F634" s="34" t="n">
        <f aca="false">D634*E634</f>
        <v>4250000</v>
      </c>
      <c r="G634" s="33" t="s">
        <v>54</v>
      </c>
      <c r="H634" s="33" t="str">
        <f aca="false">INDEX(Products!$C$2:$C$51,MATCH(C634,Products!$B$2:$B$51,0))</f>
        <v>Classic</v>
      </c>
    </row>
    <row r="635" customFormat="false" ht="15" hidden="false" customHeight="false" outlineLevel="0" collapsed="false">
      <c r="A635" s="32" t="n">
        <v>45866</v>
      </c>
      <c r="B635" s="33" t="s">
        <v>49</v>
      </c>
      <c r="C635" s="33" t="s">
        <v>66</v>
      </c>
      <c r="D635" s="34" t="n">
        <v>398000</v>
      </c>
      <c r="E635" s="33" t="n">
        <v>4</v>
      </c>
      <c r="F635" s="34" t="n">
        <f aca="false">D635*E635</f>
        <v>1592000</v>
      </c>
      <c r="G635" s="33" t="s">
        <v>54</v>
      </c>
      <c r="H635" s="33" t="str">
        <f aca="false">INDEX(Products!$C$2:$C$51,MATCH(C635,Products!$B$2:$B$51,0))</f>
        <v>Scooter</v>
      </c>
    </row>
    <row r="636" customFormat="false" ht="15" hidden="false" customHeight="false" outlineLevel="0" collapsed="false">
      <c r="A636" s="32" t="n">
        <v>45866</v>
      </c>
      <c r="B636" s="33" t="s">
        <v>53</v>
      </c>
      <c r="C636" s="33" t="s">
        <v>55</v>
      </c>
      <c r="D636" s="34" t="n">
        <v>67900</v>
      </c>
      <c r="E636" s="33" t="n">
        <v>11</v>
      </c>
      <c r="F636" s="34" t="n">
        <f aca="false">D636*E636</f>
        <v>746900</v>
      </c>
      <c r="G636" s="33" t="s">
        <v>57</v>
      </c>
      <c r="H636" s="33" t="str">
        <f aca="false">INDEX(Products!$C$2:$C$51,MATCH(C636,Products!$B$2:$B$51,0))</f>
        <v>Commuter</v>
      </c>
    </row>
    <row r="637" customFormat="false" ht="15" hidden="false" customHeight="false" outlineLevel="0" collapsed="false">
      <c r="A637" s="32" t="n">
        <v>45866</v>
      </c>
      <c r="B637" s="33" t="s">
        <v>53</v>
      </c>
      <c r="C637" s="33" t="s">
        <v>107</v>
      </c>
      <c r="D637" s="34" t="n">
        <v>199000</v>
      </c>
      <c r="E637" s="33" t="n">
        <v>17</v>
      </c>
      <c r="F637" s="34" t="n">
        <f aca="false">D637*E637</f>
        <v>3383000</v>
      </c>
      <c r="G637" s="33" t="s">
        <v>57</v>
      </c>
      <c r="H637" s="33" t="str">
        <f aca="false">INDEX(Products!$C$2:$C$51,MATCH(C637,Products!$B$2:$B$51,0))</f>
        <v>Dual-Sport</v>
      </c>
    </row>
    <row r="638" customFormat="false" ht="15" hidden="false" customHeight="false" outlineLevel="0" collapsed="false">
      <c r="A638" s="32" t="n">
        <v>45866</v>
      </c>
      <c r="B638" s="33" t="s">
        <v>53</v>
      </c>
      <c r="C638" s="33" t="s">
        <v>129</v>
      </c>
      <c r="D638" s="34" t="n">
        <v>125900</v>
      </c>
      <c r="E638" s="33" t="n">
        <v>16</v>
      </c>
      <c r="F638" s="34" t="n">
        <f aca="false">D638*E638</f>
        <v>2014400</v>
      </c>
      <c r="G638" s="33" t="s">
        <v>54</v>
      </c>
      <c r="H638" s="33" t="str">
        <f aca="false">INDEX(Products!$C$2:$C$51,MATCH(C638,Products!$B$2:$B$51,0))</f>
        <v>Underbone</v>
      </c>
    </row>
    <row r="639" customFormat="false" ht="15" hidden="false" customHeight="false" outlineLevel="0" collapsed="false">
      <c r="A639" s="32" t="n">
        <v>45866</v>
      </c>
      <c r="B639" s="33" t="s">
        <v>53</v>
      </c>
      <c r="C639" s="33" t="s">
        <v>124</v>
      </c>
      <c r="D639" s="34" t="n">
        <v>295000</v>
      </c>
      <c r="E639" s="33" t="n">
        <v>49</v>
      </c>
      <c r="F639" s="34" t="n">
        <f aca="false">D639*E639</f>
        <v>14455000</v>
      </c>
      <c r="G639" s="33" t="s">
        <v>54</v>
      </c>
      <c r="H639" s="33" t="str">
        <f aca="false">INDEX(Products!$C$2:$C$51,MATCH(C639,Products!$B$2:$B$51,0))</f>
        <v>Scrambler</v>
      </c>
    </row>
    <row r="640" customFormat="false" ht="15" hidden="false" customHeight="false" outlineLevel="0" collapsed="false">
      <c r="A640" s="32" t="n">
        <v>45866</v>
      </c>
      <c r="B640" s="33" t="s">
        <v>53</v>
      </c>
      <c r="C640" s="33" t="s">
        <v>70</v>
      </c>
      <c r="D640" s="34" t="n">
        <v>320000</v>
      </c>
      <c r="E640" s="33" t="n">
        <v>9</v>
      </c>
      <c r="F640" s="34" t="n">
        <f aca="false">D640*E640</f>
        <v>2880000</v>
      </c>
      <c r="G640" s="33" t="s">
        <v>54</v>
      </c>
      <c r="H640" s="33" t="str">
        <f aca="false">INDEX(Products!$C$2:$C$51,MATCH(C640,Products!$B$2:$B$51,0))</f>
        <v>Adventure</v>
      </c>
    </row>
    <row r="641" customFormat="false" ht="15" hidden="false" customHeight="false" outlineLevel="0" collapsed="false">
      <c r="A641" s="32" t="n">
        <v>45867</v>
      </c>
      <c r="B641" s="33" t="s">
        <v>56</v>
      </c>
      <c r="C641" s="33" t="s">
        <v>113</v>
      </c>
      <c r="D641" s="34" t="n">
        <v>182000</v>
      </c>
      <c r="E641" s="33" t="n">
        <v>12</v>
      </c>
      <c r="F641" s="34" t="n">
        <f aca="false">D641*E641</f>
        <v>2184000</v>
      </c>
      <c r="G641" s="33" t="s">
        <v>57</v>
      </c>
      <c r="H641" s="33" t="str">
        <f aca="false">INDEX(Products!$C$2:$C$51,MATCH(C641,Products!$B$2:$B$51,0))</f>
        <v>Retro</v>
      </c>
    </row>
    <row r="642" customFormat="false" ht="15" hidden="false" customHeight="false" outlineLevel="0" collapsed="false">
      <c r="A642" s="32" t="n">
        <v>45867</v>
      </c>
      <c r="B642" s="33" t="s">
        <v>49</v>
      </c>
      <c r="C642" s="33" t="s">
        <v>131</v>
      </c>
      <c r="D642" s="34" t="n">
        <v>72900</v>
      </c>
      <c r="E642" s="33" t="n">
        <v>29</v>
      </c>
      <c r="F642" s="34" t="n">
        <f aca="false">D642*E642</f>
        <v>2114100</v>
      </c>
      <c r="G642" s="33" t="s">
        <v>50</v>
      </c>
      <c r="H642" s="33" t="str">
        <f aca="false">INDEX(Products!$C$2:$C$51,MATCH(C642,Products!$B$2:$B$51,0))</f>
        <v>Underbone</v>
      </c>
    </row>
    <row r="643" customFormat="false" ht="15" hidden="false" customHeight="false" outlineLevel="0" collapsed="false">
      <c r="A643" s="32" t="n">
        <v>45867</v>
      </c>
      <c r="B643" s="33" t="s">
        <v>49</v>
      </c>
      <c r="C643" s="33" t="s">
        <v>108</v>
      </c>
      <c r="D643" s="34" t="n">
        <v>331000</v>
      </c>
      <c r="E643" s="33" t="n">
        <v>48</v>
      </c>
      <c r="F643" s="34" t="n">
        <f aca="false">D643*E643</f>
        <v>15888000</v>
      </c>
      <c r="G643" s="33" t="s">
        <v>57</v>
      </c>
      <c r="H643" s="33" t="str">
        <f aca="false">INDEX(Products!$C$2:$C$51,MATCH(C643,Products!$B$2:$B$51,0))</f>
        <v>Naked Bike</v>
      </c>
    </row>
    <row r="644" customFormat="false" ht="15" hidden="false" customHeight="false" outlineLevel="0" collapsed="false">
      <c r="A644" s="32" t="n">
        <v>45867</v>
      </c>
      <c r="B644" s="33" t="s">
        <v>49</v>
      </c>
      <c r="C644" s="33" t="s">
        <v>106</v>
      </c>
      <c r="D644" s="34" t="n">
        <v>284900</v>
      </c>
      <c r="E644" s="33" t="n">
        <v>42</v>
      </c>
      <c r="F644" s="34" t="n">
        <f aca="false">D644*E644</f>
        <v>11965800</v>
      </c>
      <c r="G644" s="33" t="s">
        <v>50</v>
      </c>
      <c r="H644" s="33" t="str">
        <f aca="false">INDEX(Products!$C$2:$C$51,MATCH(C644,Products!$B$2:$B$51,0))</f>
        <v>Dual-Sport</v>
      </c>
    </row>
    <row r="645" customFormat="false" ht="15" hidden="false" customHeight="false" outlineLevel="0" collapsed="false">
      <c r="A645" s="32" t="n">
        <v>45867</v>
      </c>
      <c r="B645" s="33" t="s">
        <v>53</v>
      </c>
      <c r="C645" s="33" t="s">
        <v>59</v>
      </c>
      <c r="D645" s="34" t="n">
        <v>165000</v>
      </c>
      <c r="E645" s="33" t="n">
        <v>14</v>
      </c>
      <c r="F645" s="34" t="n">
        <f aca="false">D645*E645</f>
        <v>2310000</v>
      </c>
      <c r="G645" s="33" t="s">
        <v>54</v>
      </c>
      <c r="H645" s="33" t="str">
        <f aca="false">INDEX(Products!$C$2:$C$51,MATCH(C645,Products!$B$2:$B$51,0))</f>
        <v>Sport</v>
      </c>
    </row>
    <row r="646" customFormat="false" ht="15" hidden="false" customHeight="false" outlineLevel="0" collapsed="false">
      <c r="A646" s="32" t="n">
        <v>45867</v>
      </c>
      <c r="B646" s="33" t="s">
        <v>49</v>
      </c>
      <c r="C646" s="33" t="s">
        <v>106</v>
      </c>
      <c r="D646" s="34" t="n">
        <v>284900</v>
      </c>
      <c r="E646" s="33" t="n">
        <v>2</v>
      </c>
      <c r="F646" s="34" t="n">
        <f aca="false">D646*E646</f>
        <v>569800</v>
      </c>
      <c r="G646" s="33" t="s">
        <v>50</v>
      </c>
      <c r="H646" s="33" t="str">
        <f aca="false">INDEX(Products!$C$2:$C$51,MATCH(C646,Products!$B$2:$B$51,0))</f>
        <v>Dual-Sport</v>
      </c>
    </row>
    <row r="647" customFormat="false" ht="15" hidden="false" customHeight="false" outlineLevel="0" collapsed="false">
      <c r="A647" s="32" t="n">
        <v>45867</v>
      </c>
      <c r="B647" s="33" t="s">
        <v>49</v>
      </c>
      <c r="C647" s="33" t="s">
        <v>117</v>
      </c>
      <c r="D647" s="34" t="n">
        <v>210000</v>
      </c>
      <c r="E647" s="33" t="n">
        <v>10</v>
      </c>
      <c r="F647" s="34" t="n">
        <f aca="false">D647*E647</f>
        <v>2100000</v>
      </c>
      <c r="G647" s="33" t="s">
        <v>50</v>
      </c>
      <c r="H647" s="33" t="str">
        <f aca="false">INDEX(Products!$C$2:$C$51,MATCH(C647,Products!$B$2:$B$51,0))</f>
        <v>Scooter</v>
      </c>
    </row>
    <row r="648" customFormat="false" ht="15" hidden="false" customHeight="false" outlineLevel="0" collapsed="false">
      <c r="A648" s="32" t="n">
        <v>45867</v>
      </c>
      <c r="B648" s="33" t="s">
        <v>49</v>
      </c>
      <c r="C648" s="33" t="s">
        <v>68</v>
      </c>
      <c r="D648" s="34" t="n">
        <v>389000</v>
      </c>
      <c r="E648" s="33" t="n">
        <v>3</v>
      </c>
      <c r="F648" s="34" t="n">
        <f aca="false">D648*E648</f>
        <v>1167000</v>
      </c>
      <c r="G648" s="33" t="s">
        <v>54</v>
      </c>
      <c r="H648" s="33" t="str">
        <f aca="false">INDEX(Products!$C$2:$C$51,MATCH(C648,Products!$B$2:$B$51,0))</f>
        <v>Sport</v>
      </c>
    </row>
    <row r="649" customFormat="false" ht="15" hidden="false" customHeight="false" outlineLevel="0" collapsed="false">
      <c r="A649" s="32" t="n">
        <v>45867</v>
      </c>
      <c r="B649" s="33" t="s">
        <v>53</v>
      </c>
      <c r="C649" s="33" t="s">
        <v>65</v>
      </c>
      <c r="D649" s="34" t="n">
        <v>345000</v>
      </c>
      <c r="E649" s="33" t="n">
        <v>12</v>
      </c>
      <c r="F649" s="34" t="n">
        <f aca="false">D649*E649</f>
        <v>4140000</v>
      </c>
      <c r="G649" s="33" t="s">
        <v>54</v>
      </c>
      <c r="H649" s="33" t="str">
        <f aca="false">INDEX(Products!$C$2:$C$51,MATCH(C649,Products!$B$2:$B$51,0))</f>
        <v>Touring</v>
      </c>
    </row>
    <row r="650" customFormat="false" ht="15" hidden="false" customHeight="false" outlineLevel="0" collapsed="false">
      <c r="A650" s="32" t="n">
        <v>45867</v>
      </c>
      <c r="B650" s="33" t="s">
        <v>49</v>
      </c>
      <c r="C650" s="33" t="s">
        <v>118</v>
      </c>
      <c r="D650" s="34" t="n">
        <v>151900</v>
      </c>
      <c r="E650" s="33" t="n">
        <v>19</v>
      </c>
      <c r="F650" s="34" t="n">
        <f aca="false">D650*E650</f>
        <v>2886100</v>
      </c>
      <c r="G650" s="33" t="s">
        <v>50</v>
      </c>
      <c r="H650" s="33" t="str">
        <f aca="false">INDEX(Products!$C$2:$C$51,MATCH(C650,Products!$B$2:$B$51,0))</f>
        <v>Scooter</v>
      </c>
    </row>
    <row r="651" customFormat="false" ht="15" hidden="false" customHeight="false" outlineLevel="0" collapsed="false">
      <c r="A651" s="32" t="n">
        <v>45867</v>
      </c>
      <c r="B651" s="33" t="s">
        <v>49</v>
      </c>
      <c r="C651" s="33" t="s">
        <v>55</v>
      </c>
      <c r="D651" s="34" t="n">
        <v>67900</v>
      </c>
      <c r="E651" s="33" t="n">
        <v>13</v>
      </c>
      <c r="F651" s="34" t="n">
        <f aca="false">D651*E651</f>
        <v>882700</v>
      </c>
      <c r="G651" s="33" t="s">
        <v>54</v>
      </c>
      <c r="H651" s="33" t="str">
        <f aca="false">INDEX(Products!$C$2:$C$51,MATCH(C651,Products!$B$2:$B$51,0))</f>
        <v>Commuter</v>
      </c>
    </row>
    <row r="652" customFormat="false" ht="15" hidden="false" customHeight="false" outlineLevel="0" collapsed="false">
      <c r="A652" s="32" t="n">
        <v>45867</v>
      </c>
      <c r="B652" s="33" t="s">
        <v>49</v>
      </c>
      <c r="C652" s="33" t="s">
        <v>128</v>
      </c>
      <c r="D652" s="34" t="n">
        <v>68900</v>
      </c>
      <c r="E652" s="33" t="n">
        <v>42</v>
      </c>
      <c r="F652" s="34" t="n">
        <f aca="false">D652*E652</f>
        <v>2893800</v>
      </c>
      <c r="G652" s="33" t="s">
        <v>50</v>
      </c>
      <c r="H652" s="33" t="str">
        <f aca="false">INDEX(Products!$C$2:$C$51,MATCH(C652,Products!$B$2:$B$51,0))</f>
        <v>Standard</v>
      </c>
    </row>
    <row r="653" customFormat="false" ht="15" hidden="false" customHeight="false" outlineLevel="0" collapsed="false">
      <c r="A653" s="32" t="n">
        <v>45868</v>
      </c>
      <c r="B653" s="33" t="s">
        <v>53</v>
      </c>
      <c r="C653" s="33" t="s">
        <v>112</v>
      </c>
      <c r="D653" s="34" t="n">
        <v>125000</v>
      </c>
      <c r="E653" s="33" t="n">
        <v>4</v>
      </c>
      <c r="F653" s="34" t="n">
        <f aca="false">D653*E653</f>
        <v>500000</v>
      </c>
      <c r="G653" s="33" t="s">
        <v>57</v>
      </c>
      <c r="H653" s="33" t="str">
        <f aca="false">INDEX(Products!$C$2:$C$51,MATCH(C653,Products!$B$2:$B$51,0))</f>
        <v>Naked Bike</v>
      </c>
    </row>
    <row r="654" customFormat="false" ht="15" hidden="false" customHeight="false" outlineLevel="0" collapsed="false">
      <c r="A654" s="32" t="n">
        <v>45868</v>
      </c>
      <c r="B654" s="33" t="s">
        <v>49</v>
      </c>
      <c r="C654" s="33" t="s">
        <v>58</v>
      </c>
      <c r="D654" s="34" t="n">
        <v>995000</v>
      </c>
      <c r="E654" s="33" t="n">
        <v>33</v>
      </c>
      <c r="F654" s="34" t="n">
        <f aca="false">D654*E654</f>
        <v>32835000</v>
      </c>
      <c r="G654" s="33" t="s">
        <v>54</v>
      </c>
      <c r="H654" s="33" t="str">
        <f aca="false">INDEX(Products!$C$2:$C$51,MATCH(C654,Products!$B$2:$B$51,0))</f>
        <v>Heritage</v>
      </c>
    </row>
    <row r="655" customFormat="false" ht="15" hidden="false" customHeight="false" outlineLevel="0" collapsed="false">
      <c r="A655" s="32" t="n">
        <v>45868</v>
      </c>
      <c r="B655" s="33" t="s">
        <v>49</v>
      </c>
      <c r="C655" s="33" t="s">
        <v>106</v>
      </c>
      <c r="D655" s="34" t="n">
        <v>284900</v>
      </c>
      <c r="E655" s="33" t="n">
        <v>7</v>
      </c>
      <c r="F655" s="34" t="n">
        <f aca="false">D655*E655</f>
        <v>1994300</v>
      </c>
      <c r="G655" s="33" t="s">
        <v>57</v>
      </c>
      <c r="H655" s="33" t="str">
        <f aca="false">INDEX(Products!$C$2:$C$51,MATCH(C655,Products!$B$2:$B$51,0))</f>
        <v>Dual-Sport</v>
      </c>
    </row>
    <row r="656" customFormat="false" ht="15" hidden="false" customHeight="false" outlineLevel="0" collapsed="false">
      <c r="A656" s="32" t="n">
        <v>45868</v>
      </c>
      <c r="B656" s="33" t="s">
        <v>53</v>
      </c>
      <c r="C656" s="33" t="s">
        <v>108</v>
      </c>
      <c r="D656" s="34" t="n">
        <v>331000</v>
      </c>
      <c r="E656" s="33" t="n">
        <v>49</v>
      </c>
      <c r="F656" s="34" t="n">
        <f aca="false">D656*E656</f>
        <v>16219000</v>
      </c>
      <c r="G656" s="33" t="s">
        <v>57</v>
      </c>
      <c r="H656" s="33" t="str">
        <f aca="false">INDEX(Products!$C$2:$C$51,MATCH(C656,Products!$B$2:$B$51,0))</f>
        <v>Naked Bike</v>
      </c>
    </row>
    <row r="657" customFormat="false" ht="15" hidden="false" customHeight="false" outlineLevel="0" collapsed="false">
      <c r="A657" s="32" t="n">
        <v>45868</v>
      </c>
      <c r="B657" s="33" t="s">
        <v>49</v>
      </c>
      <c r="C657" s="33" t="s">
        <v>130</v>
      </c>
      <c r="D657" s="34" t="n">
        <v>119900</v>
      </c>
      <c r="E657" s="33" t="n">
        <v>6</v>
      </c>
      <c r="F657" s="34" t="n">
        <f aca="false">D657*E657</f>
        <v>719400</v>
      </c>
      <c r="G657" s="33" t="s">
        <v>54</v>
      </c>
      <c r="H657" s="33" t="str">
        <f aca="false">INDEX(Products!$C$2:$C$51,MATCH(C657,Products!$B$2:$B$51,0))</f>
        <v>Underbone</v>
      </c>
    </row>
    <row r="658" customFormat="false" ht="15" hidden="false" customHeight="false" outlineLevel="0" collapsed="false">
      <c r="A658" s="32" t="n">
        <v>45868</v>
      </c>
      <c r="B658" s="33" t="s">
        <v>49</v>
      </c>
      <c r="C658" s="33" t="s">
        <v>60</v>
      </c>
      <c r="D658" s="34" t="n">
        <v>599000</v>
      </c>
      <c r="E658" s="33" t="n">
        <v>20</v>
      </c>
      <c r="F658" s="34" t="n">
        <f aca="false">D658*E658</f>
        <v>11980000</v>
      </c>
      <c r="G658" s="33" t="s">
        <v>54</v>
      </c>
      <c r="H658" s="33" t="str">
        <f aca="false">INDEX(Products!$C$2:$C$51,MATCH(C658,Products!$B$2:$B$51,0))</f>
        <v>Naked Bike</v>
      </c>
    </row>
    <row r="659" customFormat="false" ht="15" hidden="false" customHeight="false" outlineLevel="0" collapsed="false">
      <c r="A659" s="32" t="n">
        <v>45868</v>
      </c>
      <c r="B659" s="33" t="s">
        <v>53</v>
      </c>
      <c r="C659" s="33" t="s">
        <v>109</v>
      </c>
      <c r="D659" s="34" t="n">
        <v>178000</v>
      </c>
      <c r="E659" s="33" t="n">
        <v>15</v>
      </c>
      <c r="F659" s="34" t="n">
        <f aca="false">D659*E659</f>
        <v>2670000</v>
      </c>
      <c r="G659" s="33" t="s">
        <v>50</v>
      </c>
      <c r="H659" s="33" t="str">
        <f aca="false">INDEX(Products!$C$2:$C$51,MATCH(C659,Products!$B$2:$B$51,0))</f>
        <v>Naked Bike</v>
      </c>
    </row>
    <row r="660" customFormat="false" ht="15" hidden="false" customHeight="false" outlineLevel="0" collapsed="false">
      <c r="A660" s="32" t="n">
        <v>45868</v>
      </c>
      <c r="B660" s="33" t="s">
        <v>53</v>
      </c>
      <c r="C660" s="33" t="s">
        <v>66</v>
      </c>
      <c r="D660" s="34" t="n">
        <v>398000</v>
      </c>
      <c r="E660" s="33" t="n">
        <v>9</v>
      </c>
      <c r="F660" s="34" t="n">
        <f aca="false">D660*E660</f>
        <v>3582000</v>
      </c>
      <c r="G660" s="33" t="s">
        <v>54</v>
      </c>
      <c r="H660" s="33" t="str">
        <f aca="false">INDEX(Products!$C$2:$C$51,MATCH(C660,Products!$B$2:$B$51,0))</f>
        <v>Scooter</v>
      </c>
    </row>
    <row r="661" customFormat="false" ht="15" hidden="false" customHeight="false" outlineLevel="0" collapsed="false">
      <c r="A661" s="32" t="n">
        <v>45868</v>
      </c>
      <c r="B661" s="33" t="s">
        <v>53</v>
      </c>
      <c r="C661" s="33" t="s">
        <v>109</v>
      </c>
      <c r="D661" s="34" t="n">
        <v>178000</v>
      </c>
      <c r="E661" s="33" t="n">
        <v>5</v>
      </c>
      <c r="F661" s="34" t="n">
        <f aca="false">D661*E661</f>
        <v>890000</v>
      </c>
      <c r="G661" s="33" t="s">
        <v>50</v>
      </c>
      <c r="H661" s="33" t="str">
        <f aca="false">INDEX(Products!$C$2:$C$51,MATCH(C661,Products!$B$2:$B$51,0))</f>
        <v>Naked Bike</v>
      </c>
    </row>
    <row r="662" customFormat="false" ht="15" hidden="false" customHeight="false" outlineLevel="0" collapsed="false">
      <c r="A662" s="32" t="n">
        <v>45868</v>
      </c>
      <c r="B662" s="33" t="s">
        <v>53</v>
      </c>
      <c r="C662" s="33" t="s">
        <v>114</v>
      </c>
      <c r="D662" s="34" t="n">
        <v>319000</v>
      </c>
      <c r="E662" s="33" t="n">
        <v>18</v>
      </c>
      <c r="F662" s="34" t="n">
        <f aca="false">D662*E662</f>
        <v>5742000</v>
      </c>
      <c r="G662" s="33" t="s">
        <v>57</v>
      </c>
      <c r="H662" s="33" t="str">
        <f aca="false">INDEX(Products!$C$2:$C$51,MATCH(C662,Products!$B$2:$B$51,0))</f>
        <v>Scooter</v>
      </c>
    </row>
    <row r="663" customFormat="false" ht="15" hidden="false" customHeight="false" outlineLevel="0" collapsed="false">
      <c r="A663" s="32" t="n">
        <v>45868</v>
      </c>
      <c r="B663" s="33" t="s">
        <v>49</v>
      </c>
      <c r="C663" s="33" t="s">
        <v>63</v>
      </c>
      <c r="D663" s="34" t="n">
        <v>99900</v>
      </c>
      <c r="E663" s="33" t="n">
        <v>32</v>
      </c>
      <c r="F663" s="34" t="n">
        <f aca="false">D663*E663</f>
        <v>3196800</v>
      </c>
      <c r="G663" s="33" t="s">
        <v>57</v>
      </c>
      <c r="H663" s="33" t="str">
        <f aca="false">INDEX(Products!$C$2:$C$51,MATCH(C663,Products!$B$2:$B$51,0))</f>
        <v>Street</v>
      </c>
    </row>
    <row r="664" customFormat="false" ht="15" hidden="false" customHeight="false" outlineLevel="0" collapsed="false">
      <c r="A664" s="32" t="n">
        <v>45869</v>
      </c>
      <c r="B664" s="33" t="s">
        <v>53</v>
      </c>
      <c r="C664" s="33" t="s">
        <v>112</v>
      </c>
      <c r="D664" s="34" t="n">
        <v>125000</v>
      </c>
      <c r="E664" s="33" t="n">
        <v>19</v>
      </c>
      <c r="F664" s="34" t="n">
        <f aca="false">D664*E664</f>
        <v>2375000</v>
      </c>
      <c r="G664" s="33" t="s">
        <v>50</v>
      </c>
      <c r="H664" s="33" t="str">
        <f aca="false">INDEX(Products!$C$2:$C$51,MATCH(C664,Products!$B$2:$B$51,0))</f>
        <v>Naked Bike</v>
      </c>
    </row>
    <row r="665" customFormat="false" ht="15" hidden="false" customHeight="false" outlineLevel="0" collapsed="false">
      <c r="A665" s="32" t="n">
        <v>45869</v>
      </c>
      <c r="B665" s="33" t="s">
        <v>53</v>
      </c>
      <c r="C665" s="33" t="s">
        <v>69</v>
      </c>
      <c r="D665" s="34" t="n">
        <v>164900</v>
      </c>
      <c r="E665" s="33" t="n">
        <v>3</v>
      </c>
      <c r="F665" s="34" t="n">
        <f aca="false">D665*E665</f>
        <v>494700</v>
      </c>
      <c r="G665" s="33" t="s">
        <v>54</v>
      </c>
      <c r="H665" s="33" t="str">
        <f aca="false">INDEX(Products!$C$2:$C$51,MATCH(C665,Products!$B$2:$B$51,0))</f>
        <v>Scooter</v>
      </c>
    </row>
    <row r="666" customFormat="false" ht="15" hidden="false" customHeight="false" outlineLevel="0" collapsed="false">
      <c r="A666" s="32" t="n">
        <v>45869</v>
      </c>
      <c r="B666" s="33" t="s">
        <v>53</v>
      </c>
      <c r="C666" s="33" t="s">
        <v>117</v>
      </c>
      <c r="D666" s="34" t="n">
        <v>210000</v>
      </c>
      <c r="E666" s="33" t="n">
        <v>3</v>
      </c>
      <c r="F666" s="34" t="n">
        <f aca="false">D666*E666</f>
        <v>630000</v>
      </c>
      <c r="G666" s="33" t="s">
        <v>57</v>
      </c>
      <c r="H666" s="33" t="str">
        <f aca="false">INDEX(Products!$C$2:$C$51,MATCH(C666,Products!$B$2:$B$51,0))</f>
        <v>Scooter</v>
      </c>
    </row>
    <row r="667" customFormat="false" ht="15" hidden="false" customHeight="false" outlineLevel="0" collapsed="false">
      <c r="A667" s="32" t="n">
        <v>45869</v>
      </c>
      <c r="B667" s="33" t="s">
        <v>53</v>
      </c>
      <c r="C667" s="33" t="s">
        <v>127</v>
      </c>
      <c r="D667" s="34" t="n">
        <v>199900</v>
      </c>
      <c r="E667" s="33" t="n">
        <v>10</v>
      </c>
      <c r="F667" s="34" t="n">
        <f aca="false">D667*E667</f>
        <v>1999000</v>
      </c>
      <c r="G667" s="33" t="s">
        <v>57</v>
      </c>
      <c r="H667" s="33" t="str">
        <f aca="false">INDEX(Products!$C$2:$C$51,MATCH(C667,Products!$B$2:$B$51,0))</f>
        <v>Sport Touring</v>
      </c>
    </row>
    <row r="668" customFormat="false" ht="15" hidden="false" customHeight="false" outlineLevel="0" collapsed="false">
      <c r="A668" s="32" t="n">
        <v>45869</v>
      </c>
      <c r="B668" s="33" t="s">
        <v>49</v>
      </c>
      <c r="C668" s="33" t="s">
        <v>52</v>
      </c>
      <c r="D668" s="34" t="n">
        <v>398000</v>
      </c>
      <c r="E668" s="33" t="n">
        <v>44</v>
      </c>
      <c r="F668" s="34" t="n">
        <f aca="false">D668*E668</f>
        <v>17512000</v>
      </c>
      <c r="G668" s="33" t="s">
        <v>50</v>
      </c>
      <c r="H668" s="33" t="str">
        <f aca="false">INDEX(Products!$C$2:$C$51,MATCH(C668,Products!$B$2:$B$51,0))</f>
        <v>Cruiser</v>
      </c>
    </row>
    <row r="669" customFormat="false" ht="15" hidden="false" customHeight="false" outlineLevel="0" collapsed="false">
      <c r="A669" s="32" t="n">
        <v>45869</v>
      </c>
      <c r="B669" s="33" t="s">
        <v>49</v>
      </c>
      <c r="C669" s="33" t="s">
        <v>127</v>
      </c>
      <c r="D669" s="34" t="n">
        <v>199900</v>
      </c>
      <c r="E669" s="33" t="n">
        <v>17</v>
      </c>
      <c r="F669" s="34" t="n">
        <f aca="false">D669*E669</f>
        <v>3398300</v>
      </c>
      <c r="G669" s="33" t="s">
        <v>57</v>
      </c>
      <c r="H669" s="33" t="str">
        <f aca="false">INDEX(Products!$C$2:$C$51,MATCH(C669,Products!$B$2:$B$51,0))</f>
        <v>Sport Touring</v>
      </c>
    </row>
    <row r="670" customFormat="false" ht="15" hidden="false" customHeight="false" outlineLevel="0" collapsed="false">
      <c r="A670" s="32" t="n">
        <v>45869</v>
      </c>
      <c r="B670" s="33" t="s">
        <v>49</v>
      </c>
      <c r="C670" s="33" t="s">
        <v>105</v>
      </c>
      <c r="D670" s="34" t="n">
        <v>349000</v>
      </c>
      <c r="E670" s="33" t="n">
        <v>17</v>
      </c>
      <c r="F670" s="34" t="n">
        <f aca="false">D670*E670</f>
        <v>5933000</v>
      </c>
      <c r="G670" s="33" t="s">
        <v>54</v>
      </c>
      <c r="H670" s="33" t="str">
        <f aca="false">INDEX(Products!$C$2:$C$51,MATCH(C670,Products!$B$2:$B$51,0))</f>
        <v>Cruiser</v>
      </c>
    </row>
    <row r="671" customFormat="false" ht="15" hidden="false" customHeight="false" outlineLevel="0" collapsed="false">
      <c r="A671" s="32" t="n">
        <v>45869</v>
      </c>
      <c r="B671" s="33" t="s">
        <v>53</v>
      </c>
      <c r="C671" s="33" t="s">
        <v>52</v>
      </c>
      <c r="D671" s="34" t="n">
        <v>398000</v>
      </c>
      <c r="E671" s="33" t="n">
        <v>42</v>
      </c>
      <c r="F671" s="34" t="n">
        <f aca="false">D671*E671</f>
        <v>16716000</v>
      </c>
      <c r="G671" s="33" t="s">
        <v>54</v>
      </c>
      <c r="H671" s="33" t="str">
        <f aca="false">INDEX(Products!$C$2:$C$51,MATCH(C671,Products!$B$2:$B$51,0))</f>
        <v>Cruiser</v>
      </c>
    </row>
    <row r="672" customFormat="false" ht="15" hidden="false" customHeight="false" outlineLevel="0" collapsed="false">
      <c r="A672" s="32" t="n">
        <v>45869</v>
      </c>
      <c r="B672" s="33" t="s">
        <v>53</v>
      </c>
      <c r="C672" s="33" t="s">
        <v>126</v>
      </c>
      <c r="D672" s="34" t="n">
        <v>198000</v>
      </c>
      <c r="E672" s="33" t="n">
        <v>5</v>
      </c>
      <c r="F672" s="34" t="n">
        <f aca="false">D672*E672</f>
        <v>990000</v>
      </c>
      <c r="G672" s="33" t="s">
        <v>54</v>
      </c>
      <c r="H672" s="33" t="str">
        <f aca="false">INDEX(Products!$C$2:$C$51,MATCH(C672,Products!$B$2:$B$51,0))</f>
        <v>Sport</v>
      </c>
    </row>
    <row r="673" customFormat="false" ht="15" hidden="false" customHeight="false" outlineLevel="0" collapsed="false">
      <c r="A673" s="32" t="n">
        <v>45869</v>
      </c>
      <c r="B673" s="33" t="s">
        <v>49</v>
      </c>
      <c r="C673" s="33" t="s">
        <v>116</v>
      </c>
      <c r="D673" s="34" t="n">
        <v>219000</v>
      </c>
      <c r="E673" s="33" t="n">
        <v>25</v>
      </c>
      <c r="F673" s="34" t="n">
        <f aca="false">D673*E673</f>
        <v>5475000</v>
      </c>
      <c r="G673" s="33" t="s">
        <v>50</v>
      </c>
      <c r="H673" s="33" t="str">
        <f aca="false">INDEX(Products!$C$2:$C$51,MATCH(C673,Products!$B$2:$B$51,0))</f>
        <v>Scooter</v>
      </c>
    </row>
    <row r="674" customFormat="false" ht="15" hidden="false" customHeight="false" outlineLevel="0" collapsed="false">
      <c r="A674" s="32" t="n">
        <v>45869</v>
      </c>
      <c r="B674" s="33" t="s">
        <v>53</v>
      </c>
      <c r="C674" s="33" t="s">
        <v>69</v>
      </c>
      <c r="D674" s="34" t="n">
        <v>164900</v>
      </c>
      <c r="E674" s="33" t="n">
        <v>2</v>
      </c>
      <c r="F674" s="34" t="n">
        <f aca="false">D674*E674</f>
        <v>329800</v>
      </c>
      <c r="G674" s="33" t="s">
        <v>50</v>
      </c>
      <c r="H674" s="33" t="str">
        <f aca="false">INDEX(Products!$C$2:$C$51,MATCH(C674,Products!$B$2:$B$51,0))</f>
        <v>Scooter</v>
      </c>
    </row>
    <row r="675" customFormat="false" ht="15" hidden="false" customHeight="false" outlineLevel="0" collapsed="false">
      <c r="A675" s="32" t="n">
        <v>45869</v>
      </c>
      <c r="B675" s="33" t="s">
        <v>49</v>
      </c>
      <c r="C675" s="33" t="s">
        <v>115</v>
      </c>
      <c r="D675" s="34" t="n">
        <v>289000</v>
      </c>
      <c r="E675" s="33" t="n">
        <v>50</v>
      </c>
      <c r="F675" s="34" t="n">
        <f aca="false">D675*E675</f>
        <v>14450000</v>
      </c>
      <c r="G675" s="33" t="s">
        <v>57</v>
      </c>
      <c r="H675" s="33" t="str">
        <f aca="false">INDEX(Products!$C$2:$C$51,MATCH(C675,Products!$B$2:$B$51,0))</f>
        <v>Scooter</v>
      </c>
    </row>
    <row r="676" customFormat="false" ht="15" hidden="false" customHeight="false" outlineLevel="0" collapsed="false">
      <c r="A676" s="32" t="n">
        <v>45870</v>
      </c>
      <c r="B676" s="33" t="s">
        <v>53</v>
      </c>
      <c r="C676" s="33" t="s">
        <v>107</v>
      </c>
      <c r="D676" s="34" t="n">
        <v>199000</v>
      </c>
      <c r="E676" s="33" t="n">
        <v>42</v>
      </c>
      <c r="F676" s="34" t="n">
        <f aca="false">D676*E676</f>
        <v>8358000</v>
      </c>
      <c r="G676" s="33" t="s">
        <v>50</v>
      </c>
      <c r="H676" s="33" t="str">
        <f aca="false">INDEX(Products!$C$2:$C$51,MATCH(C676,Products!$B$2:$B$51,0))</f>
        <v>Dual-Sport</v>
      </c>
    </row>
    <row r="677" customFormat="false" ht="15" hidden="false" customHeight="false" outlineLevel="0" collapsed="false">
      <c r="A677" s="32" t="n">
        <v>45870</v>
      </c>
      <c r="B677" s="33" t="s">
        <v>53</v>
      </c>
      <c r="C677" s="33" t="s">
        <v>126</v>
      </c>
      <c r="D677" s="34" t="n">
        <v>198000</v>
      </c>
      <c r="E677" s="33" t="n">
        <v>3</v>
      </c>
      <c r="F677" s="34" t="n">
        <f aca="false">D677*E677</f>
        <v>594000</v>
      </c>
      <c r="G677" s="33" t="s">
        <v>57</v>
      </c>
      <c r="H677" s="33" t="str">
        <f aca="false">INDEX(Products!$C$2:$C$51,MATCH(C677,Products!$B$2:$B$51,0))</f>
        <v>Sport</v>
      </c>
    </row>
    <row r="678" customFormat="false" ht="15" hidden="false" customHeight="false" outlineLevel="0" collapsed="false">
      <c r="A678" s="32" t="n">
        <v>45870</v>
      </c>
      <c r="B678" s="33" t="s">
        <v>49</v>
      </c>
      <c r="C678" s="33" t="s">
        <v>67</v>
      </c>
      <c r="D678" s="34" t="n">
        <v>250000</v>
      </c>
      <c r="E678" s="33" t="n">
        <v>8</v>
      </c>
      <c r="F678" s="34" t="n">
        <f aca="false">D678*E678</f>
        <v>2000000</v>
      </c>
      <c r="G678" s="33" t="s">
        <v>50</v>
      </c>
      <c r="H678" s="33" t="str">
        <f aca="false">INDEX(Products!$C$2:$C$51,MATCH(C678,Products!$B$2:$B$51,0))</f>
        <v>Classic</v>
      </c>
    </row>
    <row r="679" customFormat="false" ht="15" hidden="false" customHeight="false" outlineLevel="0" collapsed="false">
      <c r="A679" s="32" t="n">
        <v>45870</v>
      </c>
      <c r="B679" s="33" t="s">
        <v>49</v>
      </c>
      <c r="C679" s="33" t="s">
        <v>51</v>
      </c>
      <c r="D679" s="34" t="n">
        <v>689000</v>
      </c>
      <c r="E679" s="33" t="n">
        <v>45</v>
      </c>
      <c r="F679" s="34" t="n">
        <f aca="false">D679*E679</f>
        <v>31005000</v>
      </c>
      <c r="G679" s="33" t="s">
        <v>50</v>
      </c>
      <c r="H679" s="33" t="str">
        <f aca="false">INDEX(Products!$C$2:$C$51,MATCH(C679,Products!$B$2:$B$51,0))</f>
        <v>Heritage</v>
      </c>
    </row>
    <row r="680" customFormat="false" ht="15" hidden="false" customHeight="false" outlineLevel="0" collapsed="false">
      <c r="A680" s="32" t="n">
        <v>45870</v>
      </c>
      <c r="B680" s="33" t="s">
        <v>53</v>
      </c>
      <c r="C680" s="33" t="s">
        <v>102</v>
      </c>
      <c r="D680" s="34" t="n">
        <v>269000</v>
      </c>
      <c r="E680" s="33" t="n">
        <v>9</v>
      </c>
      <c r="F680" s="34" t="n">
        <f aca="false">D680*E680</f>
        <v>2421000</v>
      </c>
      <c r="G680" s="33" t="s">
        <v>57</v>
      </c>
      <c r="H680" s="33" t="str">
        <f aca="false">INDEX(Products!$C$2:$C$51,MATCH(C680,Products!$B$2:$B$51,0))</f>
        <v>Cafe Racer</v>
      </c>
    </row>
    <row r="681" customFormat="false" ht="15" hidden="false" customHeight="false" outlineLevel="0" collapsed="false">
      <c r="A681" s="32" t="n">
        <v>45870</v>
      </c>
      <c r="B681" s="33" t="s">
        <v>49</v>
      </c>
      <c r="C681" s="33" t="s">
        <v>125</v>
      </c>
      <c r="D681" s="34" t="n">
        <v>340000</v>
      </c>
      <c r="E681" s="33" t="n">
        <v>10</v>
      </c>
      <c r="F681" s="34" t="n">
        <f aca="false">D681*E681</f>
        <v>3400000</v>
      </c>
      <c r="G681" s="33" t="s">
        <v>54</v>
      </c>
      <c r="H681" s="33" t="str">
        <f aca="false">INDEX(Products!$C$2:$C$51,MATCH(C681,Products!$B$2:$B$51,0))</f>
        <v>Sport</v>
      </c>
    </row>
    <row r="682" customFormat="false" ht="15" hidden="false" customHeight="false" outlineLevel="0" collapsed="false">
      <c r="A682" s="32" t="n">
        <v>45870</v>
      </c>
      <c r="B682" s="33" t="s">
        <v>53</v>
      </c>
      <c r="C682" s="33" t="s">
        <v>117</v>
      </c>
      <c r="D682" s="34" t="n">
        <v>210000</v>
      </c>
      <c r="E682" s="33" t="n">
        <v>39</v>
      </c>
      <c r="F682" s="34" t="n">
        <f aca="false">D682*E682</f>
        <v>8190000</v>
      </c>
      <c r="G682" s="33" t="s">
        <v>57</v>
      </c>
      <c r="H682" s="33" t="str">
        <f aca="false">INDEX(Products!$C$2:$C$51,MATCH(C682,Products!$B$2:$B$51,0))</f>
        <v>Scooter</v>
      </c>
    </row>
    <row r="683" customFormat="false" ht="15" hidden="false" customHeight="false" outlineLevel="0" collapsed="false">
      <c r="A683" s="32" t="n">
        <v>45870</v>
      </c>
      <c r="B683" s="33" t="s">
        <v>49</v>
      </c>
      <c r="C683" s="33" t="s">
        <v>114</v>
      </c>
      <c r="D683" s="34" t="n">
        <v>319000</v>
      </c>
      <c r="E683" s="33" t="n">
        <v>7</v>
      </c>
      <c r="F683" s="34" t="n">
        <f aca="false">D683*E683</f>
        <v>2233000</v>
      </c>
      <c r="G683" s="33" t="s">
        <v>50</v>
      </c>
      <c r="H683" s="33" t="str">
        <f aca="false">INDEX(Products!$C$2:$C$51,MATCH(C683,Products!$B$2:$B$51,0))</f>
        <v>Scooter</v>
      </c>
    </row>
    <row r="684" customFormat="false" ht="15" hidden="false" customHeight="false" outlineLevel="0" collapsed="false">
      <c r="A684" s="32" t="n">
        <v>45870</v>
      </c>
      <c r="B684" s="33" t="s">
        <v>53</v>
      </c>
      <c r="C684" s="33" t="s">
        <v>58</v>
      </c>
      <c r="D684" s="34" t="n">
        <v>995000</v>
      </c>
      <c r="E684" s="33" t="n">
        <v>7</v>
      </c>
      <c r="F684" s="34" t="n">
        <f aca="false">D684*E684</f>
        <v>6965000</v>
      </c>
      <c r="G684" s="33" t="s">
        <v>50</v>
      </c>
      <c r="H684" s="33" t="str">
        <f aca="false">INDEX(Products!$C$2:$C$51,MATCH(C684,Products!$B$2:$B$51,0))</f>
        <v>Heritage</v>
      </c>
    </row>
    <row r="685" customFormat="false" ht="15" hidden="false" customHeight="false" outlineLevel="0" collapsed="false">
      <c r="A685" s="32" t="n">
        <v>45870</v>
      </c>
      <c r="B685" s="33" t="s">
        <v>53</v>
      </c>
      <c r="C685" s="33" t="s">
        <v>128</v>
      </c>
      <c r="D685" s="34" t="n">
        <v>68900</v>
      </c>
      <c r="E685" s="33" t="n">
        <v>5</v>
      </c>
      <c r="F685" s="34" t="n">
        <f aca="false">D685*E685</f>
        <v>344500</v>
      </c>
      <c r="G685" s="33" t="s">
        <v>50</v>
      </c>
      <c r="H685" s="33" t="str">
        <f aca="false">INDEX(Products!$C$2:$C$51,MATCH(C685,Products!$B$2:$B$51,0))</f>
        <v>Standard</v>
      </c>
    </row>
    <row r="686" customFormat="false" ht="15" hidden="false" customHeight="false" outlineLevel="0" collapsed="false">
      <c r="A686" s="32" t="n">
        <v>45870</v>
      </c>
      <c r="B686" s="33" t="s">
        <v>49</v>
      </c>
      <c r="C686" s="33" t="s">
        <v>113</v>
      </c>
      <c r="D686" s="34" t="n">
        <v>182000</v>
      </c>
      <c r="E686" s="33" t="n">
        <v>4</v>
      </c>
      <c r="F686" s="34" t="n">
        <f aca="false">D686*E686</f>
        <v>728000</v>
      </c>
      <c r="G686" s="33" t="s">
        <v>57</v>
      </c>
      <c r="H686" s="33" t="str">
        <f aca="false">INDEX(Products!$C$2:$C$51,MATCH(C686,Products!$B$2:$B$51,0))</f>
        <v>Retro</v>
      </c>
    </row>
    <row r="687" customFormat="false" ht="15" hidden="false" customHeight="false" outlineLevel="0" collapsed="false">
      <c r="A687" s="32" t="n">
        <v>45870</v>
      </c>
      <c r="B687" s="33" t="s">
        <v>53</v>
      </c>
      <c r="C687" s="33" t="s">
        <v>130</v>
      </c>
      <c r="D687" s="34" t="n">
        <v>119900</v>
      </c>
      <c r="E687" s="33" t="n">
        <v>9</v>
      </c>
      <c r="F687" s="34" t="n">
        <f aca="false">D687*E687</f>
        <v>1079100</v>
      </c>
      <c r="G687" s="33" t="s">
        <v>50</v>
      </c>
      <c r="H687" s="33" t="str">
        <f aca="false">INDEX(Products!$C$2:$C$51,MATCH(C687,Products!$B$2:$B$51,0))</f>
        <v>Underbone</v>
      </c>
    </row>
    <row r="688" customFormat="false" ht="15" hidden="false" customHeight="false" outlineLevel="0" collapsed="false">
      <c r="A688" s="32" t="n">
        <v>45870</v>
      </c>
      <c r="B688" s="33" t="s">
        <v>53</v>
      </c>
      <c r="C688" s="33" t="s">
        <v>102</v>
      </c>
      <c r="D688" s="34" t="n">
        <v>269000</v>
      </c>
      <c r="E688" s="33" t="n">
        <v>15</v>
      </c>
      <c r="F688" s="34" t="n">
        <f aca="false">D688*E688</f>
        <v>4035000</v>
      </c>
      <c r="G688" s="33" t="s">
        <v>50</v>
      </c>
      <c r="H688" s="33" t="str">
        <f aca="false">INDEX(Products!$C$2:$C$51,MATCH(C688,Products!$B$2:$B$51,0))</f>
        <v>Cafe Racer</v>
      </c>
    </row>
    <row r="689" customFormat="false" ht="15" hidden="false" customHeight="false" outlineLevel="0" collapsed="false">
      <c r="A689" s="32" t="n">
        <v>45870</v>
      </c>
      <c r="B689" s="33" t="s">
        <v>53</v>
      </c>
      <c r="C689" s="33" t="s">
        <v>70</v>
      </c>
      <c r="D689" s="34" t="n">
        <v>320000</v>
      </c>
      <c r="E689" s="33" t="n">
        <v>5</v>
      </c>
      <c r="F689" s="34" t="n">
        <f aca="false">D689*E689</f>
        <v>1600000</v>
      </c>
      <c r="G689" s="33" t="s">
        <v>50</v>
      </c>
      <c r="H689" s="33" t="str">
        <f aca="false">INDEX(Products!$C$2:$C$51,MATCH(C689,Products!$B$2:$B$51,0))</f>
        <v>Adventure</v>
      </c>
    </row>
    <row r="690" customFormat="false" ht="15" hidden="false" customHeight="false" outlineLevel="0" collapsed="false">
      <c r="A690" s="32" t="n">
        <v>45870</v>
      </c>
      <c r="B690" s="33" t="s">
        <v>49</v>
      </c>
      <c r="C690" s="33" t="s">
        <v>70</v>
      </c>
      <c r="D690" s="34" t="n">
        <v>320000</v>
      </c>
      <c r="E690" s="33" t="n">
        <v>18</v>
      </c>
      <c r="F690" s="34" t="n">
        <f aca="false">D690*E690</f>
        <v>5760000</v>
      </c>
      <c r="G690" s="33" t="s">
        <v>54</v>
      </c>
      <c r="H690" s="33" t="str">
        <f aca="false">INDEX(Products!$C$2:$C$51,MATCH(C690,Products!$B$2:$B$51,0))</f>
        <v>Adventure</v>
      </c>
    </row>
    <row r="691" customFormat="false" ht="15" hidden="false" customHeight="false" outlineLevel="0" collapsed="false">
      <c r="A691" s="32" t="n">
        <v>45870</v>
      </c>
      <c r="B691" s="33" t="s">
        <v>49</v>
      </c>
      <c r="C691" s="33" t="s">
        <v>126</v>
      </c>
      <c r="D691" s="34" t="n">
        <v>198000</v>
      </c>
      <c r="E691" s="33" t="n">
        <v>2</v>
      </c>
      <c r="F691" s="34" t="n">
        <f aca="false">D691*E691</f>
        <v>396000</v>
      </c>
      <c r="G691" s="33" t="s">
        <v>54</v>
      </c>
      <c r="H691" s="33" t="str">
        <f aca="false">INDEX(Products!$C$2:$C$51,MATCH(C691,Products!$B$2:$B$51,0))</f>
        <v>Sport</v>
      </c>
    </row>
    <row r="692" customFormat="false" ht="15" hidden="false" customHeight="false" outlineLevel="0" collapsed="false">
      <c r="A692" s="32" t="n">
        <v>45870</v>
      </c>
      <c r="B692" s="33" t="s">
        <v>49</v>
      </c>
      <c r="C692" s="33" t="s">
        <v>109</v>
      </c>
      <c r="D692" s="34" t="n">
        <v>178000</v>
      </c>
      <c r="E692" s="33" t="n">
        <v>13</v>
      </c>
      <c r="F692" s="34" t="n">
        <f aca="false">D692*E692</f>
        <v>2314000</v>
      </c>
      <c r="G692" s="33" t="s">
        <v>50</v>
      </c>
      <c r="H692" s="33" t="str">
        <f aca="false">INDEX(Products!$C$2:$C$51,MATCH(C692,Products!$B$2:$B$51,0))</f>
        <v>Naked Bike</v>
      </c>
    </row>
    <row r="693" customFormat="false" ht="15" hidden="false" customHeight="false" outlineLevel="0" collapsed="false">
      <c r="A693" s="32" t="n">
        <v>45870</v>
      </c>
      <c r="B693" s="33" t="s">
        <v>49</v>
      </c>
      <c r="C693" s="33" t="s">
        <v>118</v>
      </c>
      <c r="D693" s="34" t="n">
        <v>151900</v>
      </c>
      <c r="E693" s="33" t="n">
        <v>20</v>
      </c>
      <c r="F693" s="34" t="n">
        <f aca="false">D693*E693</f>
        <v>3038000</v>
      </c>
      <c r="G693" s="33" t="s">
        <v>57</v>
      </c>
      <c r="H693" s="33" t="str">
        <f aca="false">INDEX(Products!$C$2:$C$51,MATCH(C693,Products!$B$2:$B$51,0))</f>
        <v>Scooter</v>
      </c>
    </row>
    <row r="694" customFormat="false" ht="15" hidden="false" customHeight="false" outlineLevel="0" collapsed="false">
      <c r="A694" s="32" t="n">
        <v>45870</v>
      </c>
      <c r="B694" s="33" t="s">
        <v>49</v>
      </c>
      <c r="C694" s="33" t="s">
        <v>71</v>
      </c>
      <c r="D694" s="34" t="n">
        <v>165000</v>
      </c>
      <c r="E694" s="33" t="n">
        <v>30</v>
      </c>
      <c r="F694" s="34" t="n">
        <f aca="false">D694*E694</f>
        <v>4950000</v>
      </c>
      <c r="G694" s="33" t="s">
        <v>50</v>
      </c>
      <c r="H694" s="33" t="str">
        <f aca="false">INDEX(Products!$C$2:$C$51,MATCH(C694,Products!$B$2:$B$51,0))</f>
        <v>Naked Bike</v>
      </c>
    </row>
    <row r="695" customFormat="false" ht="15" hidden="false" customHeight="false" outlineLevel="0" collapsed="false">
      <c r="A695" s="32" t="n">
        <v>45870</v>
      </c>
      <c r="B695" s="33" t="s">
        <v>53</v>
      </c>
      <c r="C695" s="33" t="s">
        <v>63</v>
      </c>
      <c r="D695" s="34" t="n">
        <v>99900</v>
      </c>
      <c r="E695" s="33" t="n">
        <v>8</v>
      </c>
      <c r="F695" s="34" t="n">
        <f aca="false">D695*E695</f>
        <v>799200</v>
      </c>
      <c r="G695" s="33" t="s">
        <v>57</v>
      </c>
      <c r="H695" s="33" t="str">
        <f aca="false">INDEX(Products!$C$2:$C$51,MATCH(C695,Products!$B$2:$B$51,0))</f>
        <v>Street</v>
      </c>
    </row>
    <row r="696" customFormat="false" ht="15" hidden="false" customHeight="false" outlineLevel="0" collapsed="false">
      <c r="A696" s="32" t="n">
        <v>45870</v>
      </c>
      <c r="B696" s="33" t="s">
        <v>49</v>
      </c>
      <c r="C696" s="33" t="s">
        <v>107</v>
      </c>
      <c r="D696" s="34" t="n">
        <v>199000</v>
      </c>
      <c r="E696" s="33" t="n">
        <v>19</v>
      </c>
      <c r="F696" s="34" t="n">
        <f aca="false">D696*E696</f>
        <v>3781000</v>
      </c>
      <c r="G696" s="33" t="s">
        <v>54</v>
      </c>
      <c r="H696" s="33" t="str">
        <f aca="false">INDEX(Products!$C$2:$C$51,MATCH(C696,Products!$B$2:$B$51,0))</f>
        <v>Dual-Sport</v>
      </c>
    </row>
    <row r="697" customFormat="false" ht="15" hidden="false" customHeight="false" outlineLevel="0" collapsed="false">
      <c r="A697" s="32" t="n">
        <v>45871</v>
      </c>
      <c r="B697" s="33" t="s">
        <v>53</v>
      </c>
      <c r="C697" s="33" t="s">
        <v>119</v>
      </c>
      <c r="D697" s="34" t="n">
        <v>128000</v>
      </c>
      <c r="E697" s="33" t="n">
        <v>20</v>
      </c>
      <c r="F697" s="34" t="n">
        <f aca="false">D697*E697</f>
        <v>2560000</v>
      </c>
      <c r="G697" s="33" t="s">
        <v>50</v>
      </c>
      <c r="H697" s="33" t="str">
        <f aca="false">INDEX(Products!$C$2:$C$51,MATCH(C697,Products!$B$2:$B$51,0))</f>
        <v>Scooter</v>
      </c>
    </row>
    <row r="698" customFormat="false" ht="15" hidden="false" customHeight="false" outlineLevel="0" collapsed="false">
      <c r="A698" s="32" t="n">
        <v>45871</v>
      </c>
      <c r="B698" s="33" t="s">
        <v>53</v>
      </c>
      <c r="C698" s="33" t="s">
        <v>125</v>
      </c>
      <c r="D698" s="34" t="n">
        <v>340000</v>
      </c>
      <c r="E698" s="33" t="n">
        <v>4</v>
      </c>
      <c r="F698" s="34" t="n">
        <f aca="false">D698*E698</f>
        <v>1360000</v>
      </c>
      <c r="G698" s="33" t="s">
        <v>57</v>
      </c>
      <c r="H698" s="33" t="str">
        <f aca="false">INDEX(Products!$C$2:$C$51,MATCH(C698,Products!$B$2:$B$51,0))</f>
        <v>Sport</v>
      </c>
    </row>
    <row r="699" customFormat="false" ht="15" hidden="false" customHeight="false" outlineLevel="0" collapsed="false">
      <c r="A699" s="32" t="n">
        <v>45871</v>
      </c>
      <c r="B699" s="33" t="s">
        <v>49</v>
      </c>
      <c r="C699" s="33" t="s">
        <v>65</v>
      </c>
      <c r="D699" s="34" t="n">
        <v>345000</v>
      </c>
      <c r="E699" s="33" t="n">
        <v>6</v>
      </c>
      <c r="F699" s="34" t="n">
        <f aca="false">D699*E699</f>
        <v>2070000</v>
      </c>
      <c r="G699" s="33" t="s">
        <v>57</v>
      </c>
      <c r="H699" s="33" t="str">
        <f aca="false">INDEX(Products!$C$2:$C$51,MATCH(C699,Products!$B$2:$B$51,0))</f>
        <v>Touring</v>
      </c>
    </row>
    <row r="700" customFormat="false" ht="15" hidden="false" customHeight="false" outlineLevel="0" collapsed="false">
      <c r="A700" s="32" t="n">
        <v>45871</v>
      </c>
      <c r="B700" s="33" t="s">
        <v>49</v>
      </c>
      <c r="C700" s="33" t="s">
        <v>121</v>
      </c>
      <c r="D700" s="34" t="n">
        <v>80900</v>
      </c>
      <c r="E700" s="33" t="n">
        <v>47</v>
      </c>
      <c r="F700" s="34" t="n">
        <f aca="false">D700*E700</f>
        <v>3802300</v>
      </c>
      <c r="G700" s="33" t="s">
        <v>57</v>
      </c>
      <c r="H700" s="33" t="str">
        <f aca="false">INDEX(Products!$C$2:$C$51,MATCH(C700,Products!$B$2:$B$51,0))</f>
        <v>Scooter</v>
      </c>
    </row>
    <row r="701" customFormat="false" ht="15" hidden="false" customHeight="false" outlineLevel="0" collapsed="false">
      <c r="A701" s="32" t="n">
        <v>45871</v>
      </c>
      <c r="B701" s="33" t="s">
        <v>53</v>
      </c>
      <c r="C701" s="33" t="s">
        <v>123</v>
      </c>
      <c r="D701" s="34" t="n">
        <v>79900</v>
      </c>
      <c r="E701" s="33" t="n">
        <v>1</v>
      </c>
      <c r="F701" s="34" t="n">
        <f aca="false">D701*E701</f>
        <v>79900</v>
      </c>
      <c r="G701" s="33" t="s">
        <v>57</v>
      </c>
      <c r="H701" s="33" t="str">
        <f aca="false">INDEX(Products!$C$2:$C$51,MATCH(C701,Products!$B$2:$B$51,0))</f>
        <v>Scooter</v>
      </c>
    </row>
    <row r="702" customFormat="false" ht="15" hidden="false" customHeight="false" outlineLevel="0" collapsed="false">
      <c r="A702" s="32" t="n">
        <v>45871</v>
      </c>
      <c r="B702" s="33" t="s">
        <v>49</v>
      </c>
      <c r="C702" s="33" t="s">
        <v>130</v>
      </c>
      <c r="D702" s="34" t="n">
        <v>119900</v>
      </c>
      <c r="E702" s="33" t="n">
        <v>16</v>
      </c>
      <c r="F702" s="34" t="n">
        <f aca="false">D702*E702</f>
        <v>1918400</v>
      </c>
      <c r="G702" s="33" t="s">
        <v>50</v>
      </c>
      <c r="H702" s="33" t="str">
        <f aca="false">INDEX(Products!$C$2:$C$51,MATCH(C702,Products!$B$2:$B$51,0))</f>
        <v>Underbone</v>
      </c>
    </row>
    <row r="703" customFormat="false" ht="15" hidden="false" customHeight="false" outlineLevel="0" collapsed="false">
      <c r="A703" s="32" t="n">
        <v>45871</v>
      </c>
      <c r="B703" s="33" t="s">
        <v>49</v>
      </c>
      <c r="C703" s="33" t="s">
        <v>70</v>
      </c>
      <c r="D703" s="34" t="n">
        <v>320000</v>
      </c>
      <c r="E703" s="33" t="n">
        <v>2</v>
      </c>
      <c r="F703" s="34" t="n">
        <f aca="false">D703*E703</f>
        <v>640000</v>
      </c>
      <c r="G703" s="33" t="s">
        <v>54</v>
      </c>
      <c r="H703" s="33" t="str">
        <f aca="false">INDEX(Products!$C$2:$C$51,MATCH(C703,Products!$B$2:$B$51,0))</f>
        <v>Adventure</v>
      </c>
    </row>
    <row r="704" customFormat="false" ht="15" hidden="false" customHeight="false" outlineLevel="0" collapsed="false">
      <c r="A704" s="32" t="n">
        <v>45871</v>
      </c>
      <c r="B704" s="33" t="s">
        <v>49</v>
      </c>
      <c r="C704" s="33" t="s">
        <v>124</v>
      </c>
      <c r="D704" s="34" t="n">
        <v>295000</v>
      </c>
      <c r="E704" s="33" t="n">
        <v>4</v>
      </c>
      <c r="F704" s="34" t="n">
        <f aca="false">D704*E704</f>
        <v>1180000</v>
      </c>
      <c r="G704" s="33" t="s">
        <v>54</v>
      </c>
      <c r="H704" s="33" t="str">
        <f aca="false">INDEX(Products!$C$2:$C$51,MATCH(C704,Products!$B$2:$B$51,0))</f>
        <v>Scrambler</v>
      </c>
    </row>
    <row r="705" customFormat="false" ht="15" hidden="false" customHeight="false" outlineLevel="0" collapsed="false">
      <c r="A705" s="32" t="n">
        <v>45871</v>
      </c>
      <c r="B705" s="33" t="s">
        <v>49</v>
      </c>
      <c r="C705" s="33" t="s">
        <v>129</v>
      </c>
      <c r="D705" s="34" t="n">
        <v>125900</v>
      </c>
      <c r="E705" s="33" t="n">
        <v>6</v>
      </c>
      <c r="F705" s="34" t="n">
        <f aca="false">D705*E705</f>
        <v>755400</v>
      </c>
      <c r="G705" s="33" t="s">
        <v>50</v>
      </c>
      <c r="H705" s="33" t="str">
        <f aca="false">INDEX(Products!$C$2:$C$51,MATCH(C705,Products!$B$2:$B$51,0))</f>
        <v>Underbone</v>
      </c>
    </row>
    <row r="706" customFormat="false" ht="15" hidden="false" customHeight="false" outlineLevel="0" collapsed="false">
      <c r="A706" s="32" t="n">
        <v>45871</v>
      </c>
      <c r="B706" s="33" t="s">
        <v>49</v>
      </c>
      <c r="C706" s="33" t="s">
        <v>129</v>
      </c>
      <c r="D706" s="34" t="n">
        <v>125900</v>
      </c>
      <c r="E706" s="33" t="n">
        <v>20</v>
      </c>
      <c r="F706" s="34" t="n">
        <f aca="false">D706*E706</f>
        <v>2518000</v>
      </c>
      <c r="G706" s="33" t="s">
        <v>50</v>
      </c>
      <c r="H706" s="33" t="str">
        <f aca="false">INDEX(Products!$C$2:$C$51,MATCH(C706,Products!$B$2:$B$51,0))</f>
        <v>Underbone</v>
      </c>
    </row>
    <row r="707" customFormat="false" ht="15" hidden="false" customHeight="false" outlineLevel="0" collapsed="false">
      <c r="A707" s="32" t="n">
        <v>45871</v>
      </c>
      <c r="B707" s="33" t="s">
        <v>49</v>
      </c>
      <c r="C707" s="33" t="s">
        <v>129</v>
      </c>
      <c r="D707" s="34" t="n">
        <v>125900</v>
      </c>
      <c r="E707" s="33" t="n">
        <v>13</v>
      </c>
      <c r="F707" s="34" t="n">
        <f aca="false">D707*E707</f>
        <v>1636700</v>
      </c>
      <c r="G707" s="33" t="s">
        <v>50</v>
      </c>
      <c r="H707" s="33" t="str">
        <f aca="false">INDEX(Products!$C$2:$C$51,MATCH(C707,Products!$B$2:$B$51,0))</f>
        <v>Underbone</v>
      </c>
    </row>
    <row r="708" customFormat="false" ht="15" hidden="false" customHeight="false" outlineLevel="0" collapsed="false">
      <c r="A708" s="32" t="n">
        <v>45871</v>
      </c>
      <c r="B708" s="33" t="s">
        <v>49</v>
      </c>
      <c r="C708" s="33" t="s">
        <v>129</v>
      </c>
      <c r="D708" s="34" t="n">
        <v>125900</v>
      </c>
      <c r="E708" s="33" t="n">
        <v>16</v>
      </c>
      <c r="F708" s="34" t="n">
        <f aca="false">D708*E708</f>
        <v>2014400</v>
      </c>
      <c r="G708" s="33" t="s">
        <v>50</v>
      </c>
      <c r="H708" s="33" t="str">
        <f aca="false">INDEX(Products!$C$2:$C$51,MATCH(C708,Products!$B$2:$B$51,0))</f>
        <v>Underbone</v>
      </c>
    </row>
    <row r="709" customFormat="false" ht="15" hidden="false" customHeight="false" outlineLevel="0" collapsed="false">
      <c r="A709" s="32" t="n">
        <v>45871</v>
      </c>
      <c r="B709" s="33" t="s">
        <v>53</v>
      </c>
      <c r="C709" s="33" t="s">
        <v>103</v>
      </c>
      <c r="D709" s="34" t="n">
        <v>48000</v>
      </c>
      <c r="E709" s="33" t="n">
        <v>33</v>
      </c>
      <c r="F709" s="34" t="n">
        <f aca="false">D709*E709</f>
        <v>1584000</v>
      </c>
      <c r="G709" s="33" t="s">
        <v>57</v>
      </c>
      <c r="H709" s="33" t="str">
        <f aca="false">INDEX(Products!$C$2:$C$51,MATCH(C709,Products!$B$2:$B$51,0))</f>
        <v>Commuter</v>
      </c>
    </row>
    <row r="710" customFormat="false" ht="15" hidden="false" customHeight="false" outlineLevel="0" collapsed="false">
      <c r="A710" s="32" t="n">
        <v>45871</v>
      </c>
      <c r="B710" s="33" t="s">
        <v>53</v>
      </c>
      <c r="C710" s="33" t="s">
        <v>131</v>
      </c>
      <c r="D710" s="34" t="n">
        <v>72900</v>
      </c>
      <c r="E710" s="33" t="n">
        <v>13</v>
      </c>
      <c r="F710" s="34" t="n">
        <f aca="false">D710*E710</f>
        <v>947700</v>
      </c>
      <c r="G710" s="33" t="s">
        <v>54</v>
      </c>
      <c r="H710" s="33" t="str">
        <f aca="false">INDEX(Products!$C$2:$C$51,MATCH(C710,Products!$B$2:$B$51,0))</f>
        <v>Underbone</v>
      </c>
    </row>
    <row r="711" customFormat="false" ht="15" hidden="false" customHeight="false" outlineLevel="0" collapsed="false">
      <c r="A711" s="32" t="n">
        <v>45872</v>
      </c>
      <c r="B711" s="33" t="s">
        <v>53</v>
      </c>
      <c r="C711" s="33" t="s">
        <v>123</v>
      </c>
      <c r="D711" s="34" t="n">
        <v>79900</v>
      </c>
      <c r="E711" s="33" t="n">
        <v>20</v>
      </c>
      <c r="F711" s="34" t="n">
        <f aca="false">D711*E711</f>
        <v>1598000</v>
      </c>
      <c r="G711" s="33" t="s">
        <v>50</v>
      </c>
      <c r="H711" s="33" t="str">
        <f aca="false">INDEX(Products!$C$2:$C$51,MATCH(C711,Products!$B$2:$B$51,0))</f>
        <v>Scooter</v>
      </c>
    </row>
    <row r="712" customFormat="false" ht="15" hidden="false" customHeight="false" outlineLevel="0" collapsed="false">
      <c r="A712" s="32" t="n">
        <v>45872</v>
      </c>
      <c r="B712" s="33" t="s">
        <v>49</v>
      </c>
      <c r="C712" s="33" t="s">
        <v>128</v>
      </c>
      <c r="D712" s="34" t="n">
        <v>68900</v>
      </c>
      <c r="E712" s="33" t="n">
        <v>16</v>
      </c>
      <c r="F712" s="34" t="n">
        <f aca="false">D712*E712</f>
        <v>1102400</v>
      </c>
      <c r="G712" s="33" t="s">
        <v>50</v>
      </c>
      <c r="H712" s="33" t="str">
        <f aca="false">INDEX(Products!$C$2:$C$51,MATCH(C712,Products!$B$2:$B$51,0))</f>
        <v>Standard</v>
      </c>
    </row>
    <row r="713" customFormat="false" ht="15" hidden="false" customHeight="false" outlineLevel="0" collapsed="false">
      <c r="A713" s="32" t="n">
        <v>45872</v>
      </c>
      <c r="B713" s="33" t="s">
        <v>53</v>
      </c>
      <c r="C713" s="33" t="s">
        <v>69</v>
      </c>
      <c r="D713" s="34" t="n">
        <v>164900</v>
      </c>
      <c r="E713" s="33" t="n">
        <v>9</v>
      </c>
      <c r="F713" s="34" t="n">
        <f aca="false">D713*E713</f>
        <v>1484100</v>
      </c>
      <c r="G713" s="33" t="s">
        <v>50</v>
      </c>
      <c r="H713" s="33" t="str">
        <f aca="false">INDEX(Products!$C$2:$C$51,MATCH(C713,Products!$B$2:$B$51,0))</f>
        <v>Scooter</v>
      </c>
    </row>
    <row r="714" customFormat="false" ht="15" hidden="false" customHeight="false" outlineLevel="0" collapsed="false">
      <c r="A714" s="32" t="n">
        <v>45872</v>
      </c>
      <c r="B714" s="33" t="s">
        <v>49</v>
      </c>
      <c r="C714" s="33" t="s">
        <v>55</v>
      </c>
      <c r="D714" s="34" t="n">
        <v>67900</v>
      </c>
      <c r="E714" s="33" t="n">
        <v>47</v>
      </c>
      <c r="F714" s="34" t="n">
        <f aca="false">D714*E714</f>
        <v>3191300</v>
      </c>
      <c r="G714" s="33" t="s">
        <v>50</v>
      </c>
      <c r="H714" s="33" t="str">
        <f aca="false">INDEX(Products!$C$2:$C$51,MATCH(C714,Products!$B$2:$B$51,0))</f>
        <v>Commuter</v>
      </c>
    </row>
    <row r="715" customFormat="false" ht="15" hidden="false" customHeight="false" outlineLevel="0" collapsed="false">
      <c r="A715" s="32" t="n">
        <v>45872</v>
      </c>
      <c r="B715" s="33" t="s">
        <v>53</v>
      </c>
      <c r="C715" s="33" t="s">
        <v>60</v>
      </c>
      <c r="D715" s="34" t="n">
        <v>599000</v>
      </c>
      <c r="E715" s="33" t="n">
        <v>6</v>
      </c>
      <c r="F715" s="34" t="n">
        <f aca="false">D715*E715</f>
        <v>3594000</v>
      </c>
      <c r="G715" s="33" t="s">
        <v>57</v>
      </c>
      <c r="H715" s="33" t="str">
        <f aca="false">INDEX(Products!$C$2:$C$51,MATCH(C715,Products!$B$2:$B$51,0))</f>
        <v>Naked Bike</v>
      </c>
    </row>
    <row r="716" customFormat="false" ht="15" hidden="false" customHeight="false" outlineLevel="0" collapsed="false">
      <c r="A716" s="32" t="n">
        <v>45872</v>
      </c>
      <c r="B716" s="33" t="s">
        <v>53</v>
      </c>
      <c r="C716" s="33" t="s">
        <v>125</v>
      </c>
      <c r="D716" s="34" t="n">
        <v>340000</v>
      </c>
      <c r="E716" s="33" t="n">
        <v>28</v>
      </c>
      <c r="F716" s="34" t="n">
        <f aca="false">D716*E716</f>
        <v>9520000</v>
      </c>
      <c r="G716" s="33" t="s">
        <v>57</v>
      </c>
      <c r="H716" s="33" t="str">
        <f aca="false">INDEX(Products!$C$2:$C$51,MATCH(C716,Products!$B$2:$B$51,0))</f>
        <v>Sport</v>
      </c>
    </row>
    <row r="717" customFormat="false" ht="15" hidden="false" customHeight="false" outlineLevel="0" collapsed="false">
      <c r="A717" s="32" t="n">
        <v>45872</v>
      </c>
      <c r="B717" s="33" t="s">
        <v>49</v>
      </c>
      <c r="C717" s="33" t="s">
        <v>70</v>
      </c>
      <c r="D717" s="34" t="n">
        <v>320000</v>
      </c>
      <c r="E717" s="33" t="n">
        <v>46</v>
      </c>
      <c r="F717" s="34" t="n">
        <f aca="false">D717*E717</f>
        <v>14720000</v>
      </c>
      <c r="G717" s="33" t="s">
        <v>54</v>
      </c>
      <c r="H717" s="33" t="str">
        <f aca="false">INDEX(Products!$C$2:$C$51,MATCH(C717,Products!$B$2:$B$51,0))</f>
        <v>Adventure</v>
      </c>
    </row>
    <row r="718" customFormat="false" ht="15" hidden="false" customHeight="false" outlineLevel="0" collapsed="false">
      <c r="A718" s="32" t="n">
        <v>45872</v>
      </c>
      <c r="B718" s="33" t="s">
        <v>49</v>
      </c>
      <c r="C718" s="33" t="s">
        <v>110</v>
      </c>
      <c r="D718" s="34" t="n">
        <v>178000</v>
      </c>
      <c r="E718" s="33" t="n">
        <v>1</v>
      </c>
      <c r="F718" s="34" t="n">
        <f aca="false">D718*E718</f>
        <v>178000</v>
      </c>
      <c r="G718" s="33" t="s">
        <v>50</v>
      </c>
      <c r="H718" s="33" t="str">
        <f aca="false">INDEX(Products!$C$2:$C$51,MATCH(C718,Products!$B$2:$B$51,0))</f>
        <v>Naked Bike</v>
      </c>
    </row>
    <row r="719" customFormat="false" ht="15" hidden="false" customHeight="false" outlineLevel="0" collapsed="false">
      <c r="A719" s="32" t="n">
        <v>45872</v>
      </c>
      <c r="B719" s="33" t="s">
        <v>53</v>
      </c>
      <c r="C719" s="33" t="s">
        <v>120</v>
      </c>
      <c r="D719" s="34" t="n">
        <v>124000</v>
      </c>
      <c r="E719" s="33" t="n">
        <v>12</v>
      </c>
      <c r="F719" s="34" t="n">
        <f aca="false">D719*E719</f>
        <v>1488000</v>
      </c>
      <c r="G719" s="33" t="s">
        <v>50</v>
      </c>
      <c r="H719" s="33" t="str">
        <f aca="false">INDEX(Products!$C$2:$C$51,MATCH(C719,Products!$B$2:$B$51,0))</f>
        <v>Scooter</v>
      </c>
    </row>
    <row r="720" customFormat="false" ht="15" hidden="false" customHeight="false" outlineLevel="0" collapsed="false">
      <c r="A720" s="32" t="n">
        <v>45872</v>
      </c>
      <c r="B720" s="33" t="s">
        <v>53</v>
      </c>
      <c r="C720" s="33" t="s">
        <v>106</v>
      </c>
      <c r="D720" s="34" t="n">
        <v>284900</v>
      </c>
      <c r="E720" s="33" t="n">
        <v>28</v>
      </c>
      <c r="F720" s="34" t="n">
        <f aca="false">D720*E720</f>
        <v>7977200</v>
      </c>
      <c r="G720" s="33" t="s">
        <v>54</v>
      </c>
      <c r="H720" s="33" t="str">
        <f aca="false">INDEX(Products!$C$2:$C$51,MATCH(C720,Products!$B$2:$B$51,0))</f>
        <v>Dual-Sport</v>
      </c>
    </row>
    <row r="721" customFormat="false" ht="15" hidden="false" customHeight="false" outlineLevel="0" collapsed="false">
      <c r="A721" s="32" t="n">
        <v>45872</v>
      </c>
      <c r="B721" s="33" t="s">
        <v>49</v>
      </c>
      <c r="C721" s="33" t="s">
        <v>65</v>
      </c>
      <c r="D721" s="34" t="n">
        <v>345000</v>
      </c>
      <c r="E721" s="33" t="n">
        <v>47</v>
      </c>
      <c r="F721" s="34" t="n">
        <f aca="false">D721*E721</f>
        <v>16215000</v>
      </c>
      <c r="G721" s="33" t="s">
        <v>57</v>
      </c>
      <c r="H721" s="33" t="str">
        <f aca="false">INDEX(Products!$C$2:$C$51,MATCH(C721,Products!$B$2:$B$51,0))</f>
        <v>Touring</v>
      </c>
    </row>
    <row r="722" customFormat="false" ht="15" hidden="false" customHeight="false" outlineLevel="0" collapsed="false">
      <c r="A722" s="32" t="n">
        <v>45873</v>
      </c>
      <c r="B722" s="33" t="s">
        <v>53</v>
      </c>
      <c r="C722" s="33" t="s">
        <v>65</v>
      </c>
      <c r="D722" s="34" t="n">
        <v>345000</v>
      </c>
      <c r="E722" s="33" t="n">
        <v>4</v>
      </c>
      <c r="F722" s="34" t="n">
        <f aca="false">D722*E722</f>
        <v>1380000</v>
      </c>
      <c r="G722" s="33" t="s">
        <v>54</v>
      </c>
      <c r="H722" s="33" t="str">
        <f aca="false">INDEX(Products!$C$2:$C$51,MATCH(C722,Products!$B$2:$B$51,0))</f>
        <v>Touring</v>
      </c>
    </row>
    <row r="723" customFormat="false" ht="15" hidden="false" customHeight="false" outlineLevel="0" collapsed="false">
      <c r="A723" s="32" t="n">
        <v>45873</v>
      </c>
      <c r="B723" s="33" t="s">
        <v>53</v>
      </c>
      <c r="C723" s="33" t="s">
        <v>105</v>
      </c>
      <c r="D723" s="34" t="n">
        <v>349000</v>
      </c>
      <c r="E723" s="33" t="n">
        <v>5</v>
      </c>
      <c r="F723" s="34" t="n">
        <f aca="false">D723*E723</f>
        <v>1745000</v>
      </c>
      <c r="G723" s="33" t="s">
        <v>54</v>
      </c>
      <c r="H723" s="33" t="str">
        <f aca="false">INDEX(Products!$C$2:$C$51,MATCH(C723,Products!$B$2:$B$51,0))</f>
        <v>Cruiser</v>
      </c>
    </row>
    <row r="724" customFormat="false" ht="15" hidden="false" customHeight="false" outlineLevel="0" collapsed="false">
      <c r="A724" s="32" t="n">
        <v>45873</v>
      </c>
      <c r="B724" s="33" t="s">
        <v>49</v>
      </c>
      <c r="C724" s="33" t="s">
        <v>126</v>
      </c>
      <c r="D724" s="34" t="n">
        <v>198000</v>
      </c>
      <c r="E724" s="33" t="n">
        <v>29</v>
      </c>
      <c r="F724" s="34" t="n">
        <f aca="false">D724*E724</f>
        <v>5742000</v>
      </c>
      <c r="G724" s="33" t="s">
        <v>57</v>
      </c>
      <c r="H724" s="33" t="str">
        <f aca="false">INDEX(Products!$C$2:$C$51,MATCH(C724,Products!$B$2:$B$51,0))</f>
        <v>Sport</v>
      </c>
    </row>
    <row r="725" customFormat="false" ht="15" hidden="false" customHeight="false" outlineLevel="0" collapsed="false">
      <c r="A725" s="32" t="n">
        <v>45873</v>
      </c>
      <c r="B725" s="33" t="s">
        <v>49</v>
      </c>
      <c r="C725" s="33" t="s">
        <v>112</v>
      </c>
      <c r="D725" s="34" t="n">
        <v>125000</v>
      </c>
      <c r="E725" s="33" t="n">
        <v>31</v>
      </c>
      <c r="F725" s="34" t="n">
        <f aca="false">D725*E725</f>
        <v>3875000</v>
      </c>
      <c r="G725" s="33" t="s">
        <v>54</v>
      </c>
      <c r="H725" s="33" t="str">
        <f aca="false">INDEX(Products!$C$2:$C$51,MATCH(C725,Products!$B$2:$B$51,0))</f>
        <v>Naked Bike</v>
      </c>
    </row>
    <row r="726" customFormat="false" ht="15" hidden="false" customHeight="false" outlineLevel="0" collapsed="false">
      <c r="A726" s="32" t="n">
        <v>45873</v>
      </c>
      <c r="B726" s="33" t="s">
        <v>49</v>
      </c>
      <c r="C726" s="33" t="s">
        <v>58</v>
      </c>
      <c r="D726" s="34" t="n">
        <v>995000</v>
      </c>
      <c r="E726" s="33" t="n">
        <v>7</v>
      </c>
      <c r="F726" s="34" t="n">
        <f aca="false">D726*E726</f>
        <v>6965000</v>
      </c>
      <c r="G726" s="33" t="s">
        <v>57</v>
      </c>
      <c r="H726" s="33" t="str">
        <f aca="false">INDEX(Products!$C$2:$C$51,MATCH(C726,Products!$B$2:$B$51,0))</f>
        <v>Heritage</v>
      </c>
    </row>
    <row r="727" customFormat="false" ht="15" hidden="false" customHeight="false" outlineLevel="0" collapsed="false">
      <c r="A727" s="32" t="n">
        <v>45873</v>
      </c>
      <c r="B727" s="33" t="s">
        <v>53</v>
      </c>
      <c r="C727" s="33" t="s">
        <v>114</v>
      </c>
      <c r="D727" s="34" t="n">
        <v>319000</v>
      </c>
      <c r="E727" s="33" t="n">
        <v>3</v>
      </c>
      <c r="F727" s="34" t="n">
        <f aca="false">D727*E727</f>
        <v>957000</v>
      </c>
      <c r="G727" s="33" t="s">
        <v>57</v>
      </c>
      <c r="H727" s="33" t="str">
        <f aca="false">INDEX(Products!$C$2:$C$51,MATCH(C727,Products!$B$2:$B$51,0))</f>
        <v>Scooter</v>
      </c>
    </row>
    <row r="728" customFormat="false" ht="15" hidden="false" customHeight="false" outlineLevel="0" collapsed="false">
      <c r="A728" s="32" t="n">
        <v>45873</v>
      </c>
      <c r="B728" s="33" t="s">
        <v>49</v>
      </c>
      <c r="C728" s="33" t="s">
        <v>70</v>
      </c>
      <c r="D728" s="34" t="n">
        <v>320000</v>
      </c>
      <c r="E728" s="33" t="n">
        <v>42</v>
      </c>
      <c r="F728" s="34" t="n">
        <f aca="false">D728*E728</f>
        <v>13440000</v>
      </c>
      <c r="G728" s="33" t="s">
        <v>50</v>
      </c>
      <c r="H728" s="33" t="str">
        <f aca="false">INDEX(Products!$C$2:$C$51,MATCH(C728,Products!$B$2:$B$51,0))</f>
        <v>Adventure</v>
      </c>
    </row>
    <row r="729" customFormat="false" ht="15" hidden="false" customHeight="false" outlineLevel="0" collapsed="false">
      <c r="A729" s="32" t="n">
        <v>45873</v>
      </c>
      <c r="B729" s="33" t="s">
        <v>49</v>
      </c>
      <c r="C729" s="33" t="s">
        <v>121</v>
      </c>
      <c r="D729" s="34" t="n">
        <v>80900</v>
      </c>
      <c r="E729" s="33" t="n">
        <v>46</v>
      </c>
      <c r="F729" s="34" t="n">
        <f aca="false">D729*E729</f>
        <v>3721400</v>
      </c>
      <c r="G729" s="33" t="s">
        <v>50</v>
      </c>
      <c r="H729" s="33" t="str">
        <f aca="false">INDEX(Products!$C$2:$C$51,MATCH(C729,Products!$B$2:$B$51,0))</f>
        <v>Scooter</v>
      </c>
    </row>
    <row r="730" customFormat="false" ht="15" hidden="false" customHeight="false" outlineLevel="0" collapsed="false">
      <c r="A730" s="32" t="n">
        <v>45873</v>
      </c>
      <c r="B730" s="33" t="s">
        <v>49</v>
      </c>
      <c r="C730" s="33" t="s">
        <v>102</v>
      </c>
      <c r="D730" s="34" t="n">
        <v>269000</v>
      </c>
      <c r="E730" s="33" t="n">
        <v>19</v>
      </c>
      <c r="F730" s="34" t="n">
        <f aca="false">D730*E730</f>
        <v>5111000</v>
      </c>
      <c r="G730" s="33" t="s">
        <v>54</v>
      </c>
      <c r="H730" s="33" t="str">
        <f aca="false">INDEX(Products!$C$2:$C$51,MATCH(C730,Products!$B$2:$B$51,0))</f>
        <v>Cafe Racer</v>
      </c>
    </row>
    <row r="731" customFormat="false" ht="15" hidden="false" customHeight="false" outlineLevel="0" collapsed="false">
      <c r="A731" s="32" t="n">
        <v>45874</v>
      </c>
      <c r="B731" s="33" t="s">
        <v>49</v>
      </c>
      <c r="C731" s="33" t="s">
        <v>101</v>
      </c>
      <c r="D731" s="34" t="n">
        <v>328000</v>
      </c>
      <c r="E731" s="33" t="n">
        <v>36</v>
      </c>
      <c r="F731" s="34" t="n">
        <f aca="false">D731*E731</f>
        <v>11808000</v>
      </c>
      <c r="G731" s="33" t="s">
        <v>50</v>
      </c>
      <c r="H731" s="33" t="str">
        <f aca="false">INDEX(Products!$C$2:$C$51,MATCH(C731,Products!$B$2:$B$51,0))</f>
        <v>Cafe Racer</v>
      </c>
    </row>
    <row r="732" customFormat="false" ht="15" hidden="false" customHeight="false" outlineLevel="0" collapsed="false">
      <c r="A732" s="32" t="n">
        <v>45874</v>
      </c>
      <c r="B732" s="33" t="s">
        <v>53</v>
      </c>
      <c r="C732" s="33" t="s">
        <v>62</v>
      </c>
      <c r="D732" s="34" t="n">
        <v>650000</v>
      </c>
      <c r="E732" s="33" t="n">
        <v>3</v>
      </c>
      <c r="F732" s="34" t="n">
        <f aca="false">D732*E732</f>
        <v>1950000</v>
      </c>
      <c r="G732" s="33" t="s">
        <v>50</v>
      </c>
      <c r="H732" s="33" t="str">
        <f aca="false">INDEX(Products!$C$2:$C$51,MATCH(C732,Products!$B$2:$B$51,0))</f>
        <v>Cruiser</v>
      </c>
    </row>
    <row r="733" customFormat="false" ht="15" hidden="false" customHeight="false" outlineLevel="0" collapsed="false">
      <c r="A733" s="32" t="n">
        <v>45874</v>
      </c>
      <c r="B733" s="33" t="s">
        <v>49</v>
      </c>
      <c r="C733" s="33" t="s">
        <v>109</v>
      </c>
      <c r="D733" s="34" t="n">
        <v>178000</v>
      </c>
      <c r="E733" s="33" t="n">
        <v>12</v>
      </c>
      <c r="F733" s="34" t="n">
        <f aca="false">D733*E733</f>
        <v>2136000</v>
      </c>
      <c r="G733" s="33" t="s">
        <v>57</v>
      </c>
      <c r="H733" s="33" t="str">
        <f aca="false">INDEX(Products!$C$2:$C$51,MATCH(C733,Products!$B$2:$B$51,0))</f>
        <v>Naked Bike</v>
      </c>
    </row>
    <row r="734" customFormat="false" ht="15" hidden="false" customHeight="false" outlineLevel="0" collapsed="false">
      <c r="A734" s="32" t="n">
        <v>45874</v>
      </c>
      <c r="B734" s="33" t="s">
        <v>53</v>
      </c>
      <c r="C734" s="33" t="s">
        <v>110</v>
      </c>
      <c r="D734" s="34" t="n">
        <v>178000</v>
      </c>
      <c r="E734" s="33" t="n">
        <v>9</v>
      </c>
      <c r="F734" s="34" t="n">
        <f aca="false">D734*E734</f>
        <v>1602000</v>
      </c>
      <c r="G734" s="33" t="s">
        <v>54</v>
      </c>
      <c r="H734" s="33" t="str">
        <f aca="false">INDEX(Products!$C$2:$C$51,MATCH(C734,Products!$B$2:$B$51,0))</f>
        <v>Naked Bike</v>
      </c>
    </row>
    <row r="735" customFormat="false" ht="15" hidden="false" customHeight="false" outlineLevel="0" collapsed="false">
      <c r="A735" s="32" t="n">
        <v>45874</v>
      </c>
      <c r="B735" s="33" t="s">
        <v>49</v>
      </c>
      <c r="C735" s="33" t="s">
        <v>64</v>
      </c>
      <c r="D735" s="34" t="n">
        <v>248000</v>
      </c>
      <c r="E735" s="33" t="n">
        <v>18</v>
      </c>
      <c r="F735" s="34" t="n">
        <f aca="false">D735*E735</f>
        <v>4464000</v>
      </c>
      <c r="G735" s="33" t="s">
        <v>54</v>
      </c>
      <c r="H735" s="33" t="str">
        <f aca="false">INDEX(Products!$C$2:$C$51,MATCH(C735,Products!$B$2:$B$51,0))</f>
        <v>Adventure</v>
      </c>
    </row>
    <row r="736" customFormat="false" ht="15" hidden="false" customHeight="false" outlineLevel="0" collapsed="false">
      <c r="A736" s="32" t="n">
        <v>45874</v>
      </c>
      <c r="B736" s="33" t="s">
        <v>53</v>
      </c>
      <c r="C736" s="33" t="s">
        <v>99</v>
      </c>
      <c r="D736" s="34" t="n">
        <v>369000</v>
      </c>
      <c r="E736" s="33" t="n">
        <v>18</v>
      </c>
      <c r="F736" s="34" t="n">
        <f aca="false">D736*E736</f>
        <v>6642000</v>
      </c>
      <c r="G736" s="33" t="s">
        <v>54</v>
      </c>
      <c r="H736" s="33" t="str">
        <f aca="false">INDEX(Products!$C$2:$C$51,MATCH(C736,Products!$B$2:$B$51,0))</f>
        <v>Adventure</v>
      </c>
    </row>
    <row r="737" customFormat="false" ht="15" hidden="false" customHeight="false" outlineLevel="0" collapsed="false">
      <c r="A737" s="32" t="n">
        <v>45874</v>
      </c>
      <c r="B737" s="33" t="s">
        <v>53</v>
      </c>
      <c r="C737" s="33" t="s">
        <v>68</v>
      </c>
      <c r="D737" s="34" t="n">
        <v>389000</v>
      </c>
      <c r="E737" s="33" t="n">
        <v>12</v>
      </c>
      <c r="F737" s="34" t="n">
        <f aca="false">D737*E737</f>
        <v>4668000</v>
      </c>
      <c r="G737" s="33" t="s">
        <v>54</v>
      </c>
      <c r="H737" s="33" t="str">
        <f aca="false">INDEX(Products!$C$2:$C$51,MATCH(C737,Products!$B$2:$B$51,0))</f>
        <v>Sport</v>
      </c>
    </row>
    <row r="738" customFormat="false" ht="15" hidden="false" customHeight="false" outlineLevel="0" collapsed="false">
      <c r="A738" s="32" t="n">
        <v>45874</v>
      </c>
      <c r="B738" s="33" t="s">
        <v>49</v>
      </c>
      <c r="C738" s="33" t="s">
        <v>105</v>
      </c>
      <c r="D738" s="34" t="n">
        <v>349000</v>
      </c>
      <c r="E738" s="33" t="n">
        <v>3</v>
      </c>
      <c r="F738" s="34" t="n">
        <f aca="false">D738*E738</f>
        <v>1047000</v>
      </c>
      <c r="G738" s="33" t="s">
        <v>54</v>
      </c>
      <c r="H738" s="33" t="str">
        <f aca="false">INDEX(Products!$C$2:$C$51,MATCH(C738,Products!$B$2:$B$51,0))</f>
        <v>Cruiser</v>
      </c>
    </row>
    <row r="739" customFormat="false" ht="15" hidden="false" customHeight="false" outlineLevel="0" collapsed="false">
      <c r="A739" s="32" t="n">
        <v>45874</v>
      </c>
      <c r="B739" s="33" t="s">
        <v>53</v>
      </c>
      <c r="C739" s="33" t="s">
        <v>127</v>
      </c>
      <c r="D739" s="34" t="n">
        <v>199900</v>
      </c>
      <c r="E739" s="33" t="n">
        <v>7</v>
      </c>
      <c r="F739" s="34" t="n">
        <f aca="false">D739*E739</f>
        <v>1399300</v>
      </c>
      <c r="G739" s="33" t="s">
        <v>50</v>
      </c>
      <c r="H739" s="33" t="str">
        <f aca="false">INDEX(Products!$C$2:$C$51,MATCH(C739,Products!$B$2:$B$51,0))</f>
        <v>Sport Touring</v>
      </c>
    </row>
    <row r="740" customFormat="false" ht="15" hidden="false" customHeight="false" outlineLevel="0" collapsed="false">
      <c r="A740" s="32" t="n">
        <v>45874</v>
      </c>
      <c r="B740" s="33" t="s">
        <v>49</v>
      </c>
      <c r="C740" s="33" t="s">
        <v>111</v>
      </c>
      <c r="D740" s="34" t="n">
        <v>129000</v>
      </c>
      <c r="E740" s="33" t="n">
        <v>9</v>
      </c>
      <c r="F740" s="34" t="n">
        <f aca="false">D740*E740</f>
        <v>1161000</v>
      </c>
      <c r="G740" s="33" t="s">
        <v>57</v>
      </c>
      <c r="H740" s="33" t="str">
        <f aca="false">INDEX(Products!$C$2:$C$51,MATCH(C740,Products!$B$2:$B$51,0))</f>
        <v>Naked Bike</v>
      </c>
    </row>
    <row r="741" customFormat="false" ht="15" hidden="false" customHeight="false" outlineLevel="0" collapsed="false">
      <c r="A741" s="32" t="n">
        <v>45875</v>
      </c>
      <c r="B741" s="33" t="s">
        <v>53</v>
      </c>
      <c r="C741" s="33" t="s">
        <v>123</v>
      </c>
      <c r="D741" s="34" t="n">
        <v>79900</v>
      </c>
      <c r="E741" s="33" t="n">
        <v>41</v>
      </c>
      <c r="F741" s="34" t="n">
        <f aca="false">D741*E741</f>
        <v>3275900</v>
      </c>
      <c r="G741" s="33" t="s">
        <v>50</v>
      </c>
      <c r="H741" s="33" t="str">
        <f aca="false">INDEX(Products!$C$2:$C$51,MATCH(C741,Products!$B$2:$B$51,0))</f>
        <v>Scooter</v>
      </c>
    </row>
    <row r="742" customFormat="false" ht="15" hidden="false" customHeight="false" outlineLevel="0" collapsed="false">
      <c r="A742" s="32" t="n">
        <v>45875</v>
      </c>
      <c r="B742" s="33" t="s">
        <v>56</v>
      </c>
      <c r="C742" s="33" t="s">
        <v>120</v>
      </c>
      <c r="D742" s="34" t="n">
        <v>124000</v>
      </c>
      <c r="E742" s="33" t="n">
        <v>18</v>
      </c>
      <c r="F742" s="34" t="n">
        <f aca="false">D742*E742</f>
        <v>2232000</v>
      </c>
      <c r="G742" s="33" t="s">
        <v>54</v>
      </c>
      <c r="H742" s="33" t="str">
        <f aca="false">INDEX(Products!$C$2:$C$51,MATCH(C742,Products!$B$2:$B$51,0))</f>
        <v>Scooter</v>
      </c>
    </row>
    <row r="743" customFormat="false" ht="15" hidden="false" customHeight="false" outlineLevel="0" collapsed="false">
      <c r="A743" s="32" t="n">
        <v>45875</v>
      </c>
      <c r="B743" s="33" t="s">
        <v>53</v>
      </c>
      <c r="C743" s="33" t="s">
        <v>111</v>
      </c>
      <c r="D743" s="34" t="n">
        <v>129000</v>
      </c>
      <c r="E743" s="33" t="n">
        <v>3</v>
      </c>
      <c r="F743" s="34" t="n">
        <f aca="false">D743*E743</f>
        <v>387000</v>
      </c>
      <c r="G743" s="33" t="s">
        <v>50</v>
      </c>
      <c r="H743" s="33" t="str">
        <f aca="false">INDEX(Products!$C$2:$C$51,MATCH(C743,Products!$B$2:$B$51,0))</f>
        <v>Naked Bike</v>
      </c>
    </row>
    <row r="744" customFormat="false" ht="15" hidden="false" customHeight="false" outlineLevel="0" collapsed="false">
      <c r="A744" s="32" t="n">
        <v>45875</v>
      </c>
      <c r="B744" s="33" t="s">
        <v>49</v>
      </c>
      <c r="C744" s="33" t="s">
        <v>70</v>
      </c>
      <c r="D744" s="34" t="n">
        <v>320000</v>
      </c>
      <c r="E744" s="33" t="n">
        <v>28</v>
      </c>
      <c r="F744" s="34" t="n">
        <f aca="false">D744*E744</f>
        <v>8960000</v>
      </c>
      <c r="G744" s="33" t="s">
        <v>50</v>
      </c>
      <c r="H744" s="33" t="str">
        <f aca="false">INDEX(Products!$C$2:$C$51,MATCH(C744,Products!$B$2:$B$51,0))</f>
        <v>Adventure</v>
      </c>
    </row>
    <row r="745" customFormat="false" ht="15" hidden="false" customHeight="false" outlineLevel="0" collapsed="false">
      <c r="A745" s="32" t="n">
        <v>45875</v>
      </c>
      <c r="B745" s="33" t="s">
        <v>53</v>
      </c>
      <c r="C745" s="33" t="s">
        <v>127</v>
      </c>
      <c r="D745" s="34" t="n">
        <v>199900</v>
      </c>
      <c r="E745" s="33" t="n">
        <v>24</v>
      </c>
      <c r="F745" s="34" t="n">
        <f aca="false">D745*E745</f>
        <v>4797600</v>
      </c>
      <c r="G745" s="33" t="s">
        <v>57</v>
      </c>
      <c r="H745" s="33" t="str">
        <f aca="false">INDEX(Products!$C$2:$C$51,MATCH(C745,Products!$B$2:$B$51,0))</f>
        <v>Sport Touring</v>
      </c>
    </row>
    <row r="746" customFormat="false" ht="15" hidden="false" customHeight="false" outlineLevel="0" collapsed="false">
      <c r="A746" s="32" t="n">
        <v>45875</v>
      </c>
      <c r="B746" s="33" t="s">
        <v>53</v>
      </c>
      <c r="C746" s="33" t="s">
        <v>117</v>
      </c>
      <c r="D746" s="34" t="n">
        <v>210000</v>
      </c>
      <c r="E746" s="33" t="n">
        <v>8</v>
      </c>
      <c r="F746" s="34" t="n">
        <f aca="false">D746*E746</f>
        <v>1680000</v>
      </c>
      <c r="G746" s="33" t="s">
        <v>54</v>
      </c>
      <c r="H746" s="33" t="str">
        <f aca="false">INDEX(Products!$C$2:$C$51,MATCH(C746,Products!$B$2:$B$51,0))</f>
        <v>Scooter</v>
      </c>
    </row>
    <row r="747" customFormat="false" ht="15" hidden="false" customHeight="false" outlineLevel="0" collapsed="false">
      <c r="A747" s="32" t="n">
        <v>45875</v>
      </c>
      <c r="B747" s="33" t="s">
        <v>49</v>
      </c>
      <c r="C747" s="33" t="s">
        <v>116</v>
      </c>
      <c r="D747" s="34" t="n">
        <v>219000</v>
      </c>
      <c r="E747" s="33" t="n">
        <v>6</v>
      </c>
      <c r="F747" s="34" t="n">
        <f aca="false">D747*E747</f>
        <v>1314000</v>
      </c>
      <c r="G747" s="33" t="s">
        <v>54</v>
      </c>
      <c r="H747" s="33" t="str">
        <f aca="false">INDEX(Products!$C$2:$C$51,MATCH(C747,Products!$B$2:$B$51,0))</f>
        <v>Scooter</v>
      </c>
    </row>
    <row r="748" customFormat="false" ht="15" hidden="false" customHeight="false" outlineLevel="0" collapsed="false">
      <c r="A748" s="32" t="n">
        <v>45875</v>
      </c>
      <c r="B748" s="33" t="s">
        <v>49</v>
      </c>
      <c r="C748" s="33" t="s">
        <v>123</v>
      </c>
      <c r="D748" s="34" t="n">
        <v>79900</v>
      </c>
      <c r="E748" s="33" t="n">
        <v>1</v>
      </c>
      <c r="F748" s="34" t="n">
        <f aca="false">D748*E748</f>
        <v>79900</v>
      </c>
      <c r="G748" s="33" t="s">
        <v>54</v>
      </c>
      <c r="H748" s="33" t="str">
        <f aca="false">INDEX(Products!$C$2:$C$51,MATCH(C748,Products!$B$2:$B$51,0))</f>
        <v>Scooter</v>
      </c>
    </row>
    <row r="749" customFormat="false" ht="15" hidden="false" customHeight="false" outlineLevel="0" collapsed="false">
      <c r="A749" s="32" t="n">
        <v>45875</v>
      </c>
      <c r="B749" s="33" t="s">
        <v>53</v>
      </c>
      <c r="C749" s="33" t="s">
        <v>114</v>
      </c>
      <c r="D749" s="34" t="n">
        <v>319000</v>
      </c>
      <c r="E749" s="33" t="n">
        <v>7</v>
      </c>
      <c r="F749" s="34" t="n">
        <f aca="false">D749*E749</f>
        <v>2233000</v>
      </c>
      <c r="G749" s="33" t="s">
        <v>50</v>
      </c>
      <c r="H749" s="33" t="str">
        <f aca="false">INDEX(Products!$C$2:$C$51,MATCH(C749,Products!$B$2:$B$51,0))</f>
        <v>Scooter</v>
      </c>
    </row>
    <row r="750" customFormat="false" ht="15" hidden="false" customHeight="false" outlineLevel="0" collapsed="false">
      <c r="A750" s="32" t="n">
        <v>45875</v>
      </c>
      <c r="B750" s="33" t="s">
        <v>53</v>
      </c>
      <c r="C750" s="33" t="s">
        <v>123</v>
      </c>
      <c r="D750" s="34" t="n">
        <v>79900</v>
      </c>
      <c r="E750" s="33" t="n">
        <v>13</v>
      </c>
      <c r="F750" s="34" t="n">
        <f aca="false">D750*E750</f>
        <v>1038700</v>
      </c>
      <c r="G750" s="33" t="s">
        <v>50</v>
      </c>
      <c r="H750" s="33" t="str">
        <f aca="false">INDEX(Products!$C$2:$C$51,MATCH(C750,Products!$B$2:$B$51,0))</f>
        <v>Scooter</v>
      </c>
    </row>
    <row r="751" customFormat="false" ht="15" hidden="false" customHeight="false" outlineLevel="0" collapsed="false">
      <c r="A751" s="32" t="n">
        <v>45876</v>
      </c>
      <c r="B751" s="33" t="s">
        <v>49</v>
      </c>
      <c r="C751" s="33" t="s">
        <v>60</v>
      </c>
      <c r="D751" s="34" t="n">
        <v>599000</v>
      </c>
      <c r="E751" s="33" t="n">
        <v>1</v>
      </c>
      <c r="F751" s="34" t="n">
        <f aca="false">D751*E751</f>
        <v>599000</v>
      </c>
      <c r="G751" s="33" t="s">
        <v>54</v>
      </c>
      <c r="H751" s="33" t="str">
        <f aca="false">INDEX(Products!$C$2:$C$51,MATCH(C751,Products!$B$2:$B$51,0))</f>
        <v>Naked Bike</v>
      </c>
    </row>
    <row r="752" customFormat="false" ht="15" hidden="false" customHeight="false" outlineLevel="0" collapsed="false">
      <c r="A752" s="32" t="n">
        <v>45876</v>
      </c>
      <c r="B752" s="33" t="s">
        <v>49</v>
      </c>
      <c r="C752" s="33" t="s">
        <v>128</v>
      </c>
      <c r="D752" s="34" t="n">
        <v>68900</v>
      </c>
      <c r="E752" s="33" t="n">
        <v>9</v>
      </c>
      <c r="F752" s="34" t="n">
        <f aca="false">D752*E752</f>
        <v>620100</v>
      </c>
      <c r="G752" s="33" t="s">
        <v>54</v>
      </c>
      <c r="H752" s="33" t="str">
        <f aca="false">INDEX(Products!$C$2:$C$51,MATCH(C752,Products!$B$2:$B$51,0))</f>
        <v>Standard</v>
      </c>
    </row>
    <row r="753" customFormat="false" ht="15" hidden="false" customHeight="false" outlineLevel="0" collapsed="false">
      <c r="A753" s="32" t="n">
        <v>45876</v>
      </c>
      <c r="B753" s="33" t="s">
        <v>49</v>
      </c>
      <c r="C753" s="33" t="s">
        <v>51</v>
      </c>
      <c r="D753" s="34" t="n">
        <v>689000</v>
      </c>
      <c r="E753" s="33" t="n">
        <v>3</v>
      </c>
      <c r="F753" s="34" t="n">
        <f aca="false">D753*E753</f>
        <v>2067000</v>
      </c>
      <c r="G753" s="33" t="s">
        <v>50</v>
      </c>
      <c r="H753" s="33" t="str">
        <f aca="false">INDEX(Products!$C$2:$C$51,MATCH(C753,Products!$B$2:$B$51,0))</f>
        <v>Heritage</v>
      </c>
    </row>
    <row r="754" customFormat="false" ht="15" hidden="false" customHeight="false" outlineLevel="0" collapsed="false">
      <c r="A754" s="32" t="n">
        <v>45876</v>
      </c>
      <c r="B754" s="33" t="s">
        <v>53</v>
      </c>
      <c r="C754" s="33" t="s">
        <v>99</v>
      </c>
      <c r="D754" s="34" t="n">
        <v>369000</v>
      </c>
      <c r="E754" s="33" t="n">
        <v>6</v>
      </c>
      <c r="F754" s="34" t="n">
        <f aca="false">D754*E754</f>
        <v>2214000</v>
      </c>
      <c r="G754" s="33" t="s">
        <v>54</v>
      </c>
      <c r="H754" s="33" t="str">
        <f aca="false">INDEX(Products!$C$2:$C$51,MATCH(C754,Products!$B$2:$B$51,0))</f>
        <v>Adventure</v>
      </c>
    </row>
    <row r="755" customFormat="false" ht="15" hidden="false" customHeight="false" outlineLevel="0" collapsed="false">
      <c r="A755" s="32" t="n">
        <v>45876</v>
      </c>
      <c r="B755" s="33" t="s">
        <v>49</v>
      </c>
      <c r="C755" s="33" t="s">
        <v>112</v>
      </c>
      <c r="D755" s="34" t="n">
        <v>125000</v>
      </c>
      <c r="E755" s="33" t="n">
        <v>8</v>
      </c>
      <c r="F755" s="34" t="n">
        <f aca="false">D755*E755</f>
        <v>1000000</v>
      </c>
      <c r="G755" s="33" t="s">
        <v>50</v>
      </c>
      <c r="H755" s="33" t="str">
        <f aca="false">INDEX(Products!$C$2:$C$51,MATCH(C755,Products!$B$2:$B$51,0))</f>
        <v>Naked Bike</v>
      </c>
    </row>
    <row r="756" customFormat="false" ht="15" hidden="false" customHeight="false" outlineLevel="0" collapsed="false">
      <c r="A756" s="32" t="n">
        <v>45876</v>
      </c>
      <c r="B756" s="33" t="s">
        <v>53</v>
      </c>
      <c r="C756" s="33" t="s">
        <v>125</v>
      </c>
      <c r="D756" s="34" t="n">
        <v>340000</v>
      </c>
      <c r="E756" s="33" t="n">
        <v>47</v>
      </c>
      <c r="F756" s="34" t="n">
        <f aca="false">D756*E756</f>
        <v>15980000</v>
      </c>
      <c r="G756" s="33" t="s">
        <v>50</v>
      </c>
      <c r="H756" s="33" t="str">
        <f aca="false">INDEX(Products!$C$2:$C$51,MATCH(C756,Products!$B$2:$B$51,0))</f>
        <v>Sport</v>
      </c>
    </row>
    <row r="757" customFormat="false" ht="15" hidden="false" customHeight="false" outlineLevel="0" collapsed="false">
      <c r="A757" s="32" t="n">
        <v>45877</v>
      </c>
      <c r="B757" s="33" t="s">
        <v>49</v>
      </c>
      <c r="C757" s="33" t="s">
        <v>115</v>
      </c>
      <c r="D757" s="34" t="n">
        <v>289000</v>
      </c>
      <c r="E757" s="33" t="n">
        <v>2</v>
      </c>
      <c r="F757" s="34" t="n">
        <f aca="false">D757*E757</f>
        <v>578000</v>
      </c>
      <c r="G757" s="33" t="s">
        <v>57</v>
      </c>
      <c r="H757" s="33" t="str">
        <f aca="false">INDEX(Products!$C$2:$C$51,MATCH(C757,Products!$B$2:$B$51,0))</f>
        <v>Scooter</v>
      </c>
    </row>
    <row r="758" customFormat="false" ht="15" hidden="false" customHeight="false" outlineLevel="0" collapsed="false">
      <c r="A758" s="32" t="n">
        <v>45877</v>
      </c>
      <c r="B758" s="33" t="s">
        <v>49</v>
      </c>
      <c r="C758" s="33" t="s">
        <v>59</v>
      </c>
      <c r="D758" s="34" t="n">
        <v>165000</v>
      </c>
      <c r="E758" s="33" t="n">
        <v>10</v>
      </c>
      <c r="F758" s="34" t="n">
        <f aca="false">D758*E758</f>
        <v>1650000</v>
      </c>
      <c r="G758" s="33" t="s">
        <v>50</v>
      </c>
      <c r="H758" s="33" t="str">
        <f aca="false">INDEX(Products!$C$2:$C$51,MATCH(C758,Products!$B$2:$B$51,0))</f>
        <v>Sport</v>
      </c>
    </row>
    <row r="759" customFormat="false" ht="15" hidden="false" customHeight="false" outlineLevel="0" collapsed="false">
      <c r="A759" s="32" t="n">
        <v>45877</v>
      </c>
      <c r="B759" s="33" t="s">
        <v>49</v>
      </c>
      <c r="C759" s="33" t="s">
        <v>69</v>
      </c>
      <c r="D759" s="34" t="n">
        <v>164900</v>
      </c>
      <c r="E759" s="33" t="n">
        <v>28</v>
      </c>
      <c r="F759" s="34" t="n">
        <f aca="false">D759*E759</f>
        <v>4617200</v>
      </c>
      <c r="G759" s="33" t="s">
        <v>54</v>
      </c>
      <c r="H759" s="33" t="str">
        <f aca="false">INDEX(Products!$C$2:$C$51,MATCH(C759,Products!$B$2:$B$51,0))</f>
        <v>Scooter</v>
      </c>
    </row>
    <row r="760" customFormat="false" ht="15" hidden="false" customHeight="false" outlineLevel="0" collapsed="false">
      <c r="A760" s="32" t="n">
        <v>45877</v>
      </c>
      <c r="B760" s="33" t="s">
        <v>49</v>
      </c>
      <c r="C760" s="33" t="s">
        <v>130</v>
      </c>
      <c r="D760" s="34" t="n">
        <v>119900</v>
      </c>
      <c r="E760" s="33" t="n">
        <v>1</v>
      </c>
      <c r="F760" s="34" t="n">
        <f aca="false">D760*E760</f>
        <v>119900</v>
      </c>
      <c r="G760" s="33" t="s">
        <v>57</v>
      </c>
      <c r="H760" s="33" t="str">
        <f aca="false">INDEX(Products!$C$2:$C$51,MATCH(C760,Products!$B$2:$B$51,0))</f>
        <v>Underbone</v>
      </c>
    </row>
    <row r="761" customFormat="false" ht="15" hidden="false" customHeight="false" outlineLevel="0" collapsed="false">
      <c r="A761" s="32" t="n">
        <v>45877</v>
      </c>
      <c r="B761" s="33" t="s">
        <v>49</v>
      </c>
      <c r="C761" s="33" t="s">
        <v>124</v>
      </c>
      <c r="D761" s="34" t="n">
        <v>295000</v>
      </c>
      <c r="E761" s="33" t="n">
        <v>31</v>
      </c>
      <c r="F761" s="34" t="n">
        <f aca="false">D761*E761</f>
        <v>9145000</v>
      </c>
      <c r="G761" s="33" t="s">
        <v>57</v>
      </c>
      <c r="H761" s="33" t="str">
        <f aca="false">INDEX(Products!$C$2:$C$51,MATCH(C761,Products!$B$2:$B$51,0))</f>
        <v>Scrambler</v>
      </c>
    </row>
    <row r="762" customFormat="false" ht="15" hidden="false" customHeight="false" outlineLevel="0" collapsed="false">
      <c r="A762" s="32" t="n">
        <v>45877</v>
      </c>
      <c r="B762" s="33" t="s">
        <v>53</v>
      </c>
      <c r="C762" s="33" t="s">
        <v>119</v>
      </c>
      <c r="D762" s="34" t="n">
        <v>128000</v>
      </c>
      <c r="E762" s="33" t="n">
        <v>16</v>
      </c>
      <c r="F762" s="34" t="n">
        <f aca="false">D762*E762</f>
        <v>2048000</v>
      </c>
      <c r="G762" s="33" t="s">
        <v>56</v>
      </c>
      <c r="H762" s="33" t="str">
        <f aca="false">INDEX(Products!$C$2:$C$51,MATCH(C762,Products!$B$2:$B$51,0))</f>
        <v>Scooter</v>
      </c>
    </row>
    <row r="763" customFormat="false" ht="15" hidden="false" customHeight="false" outlineLevel="0" collapsed="false">
      <c r="A763" s="32" t="n">
        <v>45877</v>
      </c>
      <c r="B763" s="33" t="s">
        <v>49</v>
      </c>
      <c r="C763" s="33" t="s">
        <v>60</v>
      </c>
      <c r="D763" s="34" t="n">
        <v>599000</v>
      </c>
      <c r="E763" s="33" t="n">
        <v>45</v>
      </c>
      <c r="F763" s="34" t="n">
        <f aca="false">D763*E763</f>
        <v>26955000</v>
      </c>
      <c r="G763" s="33" t="s">
        <v>57</v>
      </c>
      <c r="H763" s="33" t="str">
        <f aca="false">INDEX(Products!$C$2:$C$51,MATCH(C763,Products!$B$2:$B$51,0))</f>
        <v>Naked Bike</v>
      </c>
    </row>
    <row r="764" customFormat="false" ht="15" hidden="false" customHeight="false" outlineLevel="0" collapsed="false">
      <c r="A764" s="32" t="n">
        <v>45877</v>
      </c>
      <c r="B764" s="33" t="s">
        <v>49</v>
      </c>
      <c r="C764" s="33" t="s">
        <v>102</v>
      </c>
      <c r="D764" s="34" t="n">
        <v>269000</v>
      </c>
      <c r="E764" s="33" t="n">
        <v>11</v>
      </c>
      <c r="F764" s="34" t="n">
        <f aca="false">D764*E764</f>
        <v>2959000</v>
      </c>
      <c r="G764" s="33" t="s">
        <v>57</v>
      </c>
      <c r="H764" s="33" t="str">
        <f aca="false">INDEX(Products!$C$2:$C$51,MATCH(C764,Products!$B$2:$B$51,0))</f>
        <v>Cafe Racer</v>
      </c>
    </row>
    <row r="765" customFormat="false" ht="15" hidden="false" customHeight="false" outlineLevel="0" collapsed="false">
      <c r="A765" s="32" t="n">
        <v>45877</v>
      </c>
      <c r="B765" s="33" t="s">
        <v>53</v>
      </c>
      <c r="C765" s="33" t="s">
        <v>67</v>
      </c>
      <c r="D765" s="34" t="n">
        <v>250000</v>
      </c>
      <c r="E765" s="33" t="n">
        <v>4</v>
      </c>
      <c r="F765" s="34" t="n">
        <f aca="false">D765*E765</f>
        <v>1000000</v>
      </c>
      <c r="G765" s="33" t="s">
        <v>57</v>
      </c>
      <c r="H765" s="33" t="str">
        <f aca="false">INDEX(Products!$C$2:$C$51,MATCH(C765,Products!$B$2:$B$51,0))</f>
        <v>Classic</v>
      </c>
    </row>
    <row r="766" customFormat="false" ht="15" hidden="false" customHeight="false" outlineLevel="0" collapsed="false">
      <c r="A766" s="32" t="n">
        <v>45877</v>
      </c>
      <c r="B766" s="33" t="s">
        <v>53</v>
      </c>
      <c r="C766" s="33" t="s">
        <v>62</v>
      </c>
      <c r="D766" s="34" t="n">
        <v>650000</v>
      </c>
      <c r="E766" s="33" t="n">
        <v>3</v>
      </c>
      <c r="F766" s="34" t="n">
        <f aca="false">D766*E766</f>
        <v>1950000</v>
      </c>
      <c r="G766" s="33" t="s">
        <v>54</v>
      </c>
      <c r="H766" s="33" t="str">
        <f aca="false">INDEX(Products!$C$2:$C$51,MATCH(C766,Products!$B$2:$B$51,0))</f>
        <v>Cruiser</v>
      </c>
    </row>
    <row r="767" customFormat="false" ht="15" hidden="false" customHeight="false" outlineLevel="0" collapsed="false">
      <c r="A767" s="32" t="n">
        <v>45877</v>
      </c>
      <c r="B767" s="33" t="s">
        <v>49</v>
      </c>
      <c r="C767" s="33" t="s">
        <v>59</v>
      </c>
      <c r="D767" s="34" t="n">
        <v>165000</v>
      </c>
      <c r="E767" s="33" t="n">
        <v>8</v>
      </c>
      <c r="F767" s="34" t="n">
        <f aca="false">D767*E767</f>
        <v>1320000</v>
      </c>
      <c r="G767" s="33" t="s">
        <v>54</v>
      </c>
      <c r="H767" s="33" t="str">
        <f aca="false">INDEX(Products!$C$2:$C$51,MATCH(C767,Products!$B$2:$B$51,0))</f>
        <v>Sport</v>
      </c>
    </row>
    <row r="768" customFormat="false" ht="15" hidden="false" customHeight="false" outlineLevel="0" collapsed="false">
      <c r="A768" s="32" t="n">
        <v>45878</v>
      </c>
      <c r="B768" s="33" t="s">
        <v>53</v>
      </c>
      <c r="C768" s="33" t="s">
        <v>129</v>
      </c>
      <c r="D768" s="34" t="n">
        <v>125900</v>
      </c>
      <c r="E768" s="33" t="n">
        <v>9</v>
      </c>
      <c r="F768" s="34" t="n">
        <f aca="false">D768*E768</f>
        <v>1133100</v>
      </c>
      <c r="G768" s="33" t="s">
        <v>50</v>
      </c>
      <c r="H768" s="33" t="str">
        <f aca="false">INDEX(Products!$C$2:$C$51,MATCH(C768,Products!$B$2:$B$51,0))</f>
        <v>Underbone</v>
      </c>
    </row>
    <row r="769" customFormat="false" ht="15" hidden="false" customHeight="false" outlineLevel="0" collapsed="false">
      <c r="A769" s="32" t="n">
        <v>45878</v>
      </c>
      <c r="B769" s="33" t="s">
        <v>53</v>
      </c>
      <c r="C769" s="33" t="s">
        <v>127</v>
      </c>
      <c r="D769" s="34" t="n">
        <v>199900</v>
      </c>
      <c r="E769" s="33" t="n">
        <v>8</v>
      </c>
      <c r="F769" s="34" t="n">
        <f aca="false">D769*E769</f>
        <v>1599200</v>
      </c>
      <c r="G769" s="33" t="s">
        <v>54</v>
      </c>
      <c r="H769" s="33" t="str">
        <f aca="false">INDEX(Products!$C$2:$C$51,MATCH(C769,Products!$B$2:$B$51,0))</f>
        <v>Sport Touring</v>
      </c>
    </row>
    <row r="770" customFormat="false" ht="15" hidden="false" customHeight="false" outlineLevel="0" collapsed="false">
      <c r="A770" s="32" t="n">
        <v>45878</v>
      </c>
      <c r="B770" s="33" t="s">
        <v>56</v>
      </c>
      <c r="C770" s="33" t="s">
        <v>129</v>
      </c>
      <c r="D770" s="34" t="n">
        <v>125900</v>
      </c>
      <c r="E770" s="33" t="n">
        <v>8</v>
      </c>
      <c r="F770" s="34" t="n">
        <f aca="false">D770*E770</f>
        <v>1007200</v>
      </c>
      <c r="G770" s="33" t="s">
        <v>50</v>
      </c>
      <c r="H770" s="33" t="str">
        <f aca="false">INDEX(Products!$C$2:$C$51,MATCH(C770,Products!$B$2:$B$51,0))</f>
        <v>Underbone</v>
      </c>
    </row>
    <row r="771" customFormat="false" ht="15" hidden="false" customHeight="false" outlineLevel="0" collapsed="false">
      <c r="A771" s="32" t="n">
        <v>45878</v>
      </c>
      <c r="B771" s="33" t="s">
        <v>49</v>
      </c>
      <c r="C771" s="33" t="s">
        <v>117</v>
      </c>
      <c r="D771" s="34" t="n">
        <v>210000</v>
      </c>
      <c r="E771" s="33" t="n">
        <v>36</v>
      </c>
      <c r="F771" s="34" t="n">
        <f aca="false">D771*E771</f>
        <v>7560000</v>
      </c>
      <c r="G771" s="33" t="s">
        <v>57</v>
      </c>
      <c r="H771" s="33" t="str">
        <f aca="false">INDEX(Products!$C$2:$C$51,MATCH(C771,Products!$B$2:$B$51,0))</f>
        <v>Scooter</v>
      </c>
    </row>
    <row r="772" customFormat="false" ht="15" hidden="false" customHeight="false" outlineLevel="0" collapsed="false">
      <c r="A772" s="32" t="n">
        <v>45878</v>
      </c>
      <c r="B772" s="33" t="s">
        <v>49</v>
      </c>
      <c r="C772" s="33" t="s">
        <v>114</v>
      </c>
      <c r="D772" s="34" t="n">
        <v>319000</v>
      </c>
      <c r="E772" s="33" t="n">
        <v>1</v>
      </c>
      <c r="F772" s="34" t="n">
        <f aca="false">D772*E772</f>
        <v>319000</v>
      </c>
      <c r="G772" s="33" t="s">
        <v>54</v>
      </c>
      <c r="H772" s="33" t="str">
        <f aca="false">INDEX(Products!$C$2:$C$51,MATCH(C772,Products!$B$2:$B$51,0))</f>
        <v>Scooter</v>
      </c>
    </row>
    <row r="773" customFormat="false" ht="15" hidden="false" customHeight="false" outlineLevel="0" collapsed="false">
      <c r="A773" s="32" t="n">
        <v>45878</v>
      </c>
      <c r="B773" s="33" t="s">
        <v>53</v>
      </c>
      <c r="C773" s="33" t="s">
        <v>125</v>
      </c>
      <c r="D773" s="34" t="n">
        <v>340000</v>
      </c>
      <c r="E773" s="33" t="n">
        <v>12</v>
      </c>
      <c r="F773" s="34" t="n">
        <f aca="false">D773*E773</f>
        <v>4080000</v>
      </c>
      <c r="G773" s="33" t="s">
        <v>54</v>
      </c>
      <c r="H773" s="33" t="str">
        <f aca="false">INDEX(Products!$C$2:$C$51,MATCH(C773,Products!$B$2:$B$51,0))</f>
        <v>Sport</v>
      </c>
    </row>
    <row r="774" customFormat="false" ht="15" hidden="false" customHeight="false" outlineLevel="0" collapsed="false">
      <c r="A774" s="32" t="n">
        <v>45878</v>
      </c>
      <c r="B774" s="33" t="s">
        <v>53</v>
      </c>
      <c r="C774" s="33" t="s">
        <v>125</v>
      </c>
      <c r="D774" s="34" t="n">
        <v>340000</v>
      </c>
      <c r="E774" s="33" t="n">
        <v>15</v>
      </c>
      <c r="F774" s="34" t="n">
        <f aca="false">D774*E774</f>
        <v>5100000</v>
      </c>
      <c r="G774" s="33" t="s">
        <v>54</v>
      </c>
      <c r="H774" s="33" t="str">
        <f aca="false">INDEX(Products!$C$2:$C$51,MATCH(C774,Products!$B$2:$B$51,0))</f>
        <v>Sport</v>
      </c>
    </row>
    <row r="775" customFormat="false" ht="15" hidden="false" customHeight="false" outlineLevel="0" collapsed="false">
      <c r="A775" s="32" t="n">
        <v>45878</v>
      </c>
      <c r="B775" s="33" t="s">
        <v>53</v>
      </c>
      <c r="C775" s="33" t="s">
        <v>51</v>
      </c>
      <c r="D775" s="34" t="n">
        <v>689000</v>
      </c>
      <c r="E775" s="33" t="n">
        <v>10</v>
      </c>
      <c r="F775" s="34" t="n">
        <f aca="false">D775*E775</f>
        <v>6890000</v>
      </c>
      <c r="G775" s="33" t="s">
        <v>54</v>
      </c>
      <c r="H775" s="33" t="str">
        <f aca="false">INDEX(Products!$C$2:$C$51,MATCH(C775,Products!$B$2:$B$51,0))</f>
        <v>Heritage</v>
      </c>
    </row>
    <row r="776" customFormat="false" ht="15" hidden="false" customHeight="false" outlineLevel="0" collapsed="false">
      <c r="A776" s="32" t="n">
        <v>45878</v>
      </c>
      <c r="B776" s="33" t="s">
        <v>49</v>
      </c>
      <c r="C776" s="33" t="s">
        <v>128</v>
      </c>
      <c r="D776" s="34" t="n">
        <v>68900</v>
      </c>
      <c r="E776" s="33" t="n">
        <v>6</v>
      </c>
      <c r="F776" s="34" t="n">
        <f aca="false">D776*E776</f>
        <v>413400</v>
      </c>
      <c r="G776" s="33" t="s">
        <v>57</v>
      </c>
      <c r="H776" s="33" t="str">
        <f aca="false">INDEX(Products!$C$2:$C$51,MATCH(C776,Products!$B$2:$B$51,0))</f>
        <v>Standard</v>
      </c>
    </row>
    <row r="777" customFormat="false" ht="15" hidden="false" customHeight="false" outlineLevel="0" collapsed="false">
      <c r="A777" s="32" t="n">
        <v>45878</v>
      </c>
      <c r="B777" s="33" t="s">
        <v>49</v>
      </c>
      <c r="C777" s="33" t="s">
        <v>55</v>
      </c>
      <c r="D777" s="34" t="n">
        <v>67900</v>
      </c>
      <c r="E777" s="33" t="n">
        <v>33</v>
      </c>
      <c r="F777" s="34" t="n">
        <f aca="false">D777*E777</f>
        <v>2240700</v>
      </c>
      <c r="G777" s="33" t="s">
        <v>50</v>
      </c>
      <c r="H777" s="33" t="str">
        <f aca="false">INDEX(Products!$C$2:$C$51,MATCH(C777,Products!$B$2:$B$51,0))</f>
        <v>Commuter</v>
      </c>
    </row>
    <row r="778" customFormat="false" ht="15" hidden="false" customHeight="false" outlineLevel="0" collapsed="false">
      <c r="A778" s="32" t="n">
        <v>45878</v>
      </c>
      <c r="B778" s="33" t="s">
        <v>53</v>
      </c>
      <c r="C778" s="33" t="s">
        <v>58</v>
      </c>
      <c r="D778" s="34" t="n">
        <v>995000</v>
      </c>
      <c r="E778" s="33" t="n">
        <v>5</v>
      </c>
      <c r="F778" s="34" t="n">
        <f aca="false">D778*E778</f>
        <v>4975000</v>
      </c>
      <c r="G778" s="33" t="s">
        <v>50</v>
      </c>
      <c r="H778" s="33" t="str">
        <f aca="false">INDEX(Products!$C$2:$C$51,MATCH(C778,Products!$B$2:$B$51,0))</f>
        <v>Heritage</v>
      </c>
    </row>
    <row r="779" customFormat="false" ht="15" hidden="false" customHeight="false" outlineLevel="0" collapsed="false">
      <c r="A779" s="32" t="n">
        <v>45879</v>
      </c>
      <c r="B779" s="33" t="s">
        <v>53</v>
      </c>
      <c r="C779" s="33" t="s">
        <v>127</v>
      </c>
      <c r="D779" s="34" t="n">
        <v>199900</v>
      </c>
      <c r="E779" s="33" t="n">
        <v>46</v>
      </c>
      <c r="F779" s="34" t="n">
        <f aca="false">D779*E779</f>
        <v>9195400</v>
      </c>
      <c r="G779" s="33" t="s">
        <v>57</v>
      </c>
      <c r="H779" s="33" t="str">
        <f aca="false">INDEX(Products!$C$2:$C$51,MATCH(C779,Products!$B$2:$B$51,0))</f>
        <v>Sport Touring</v>
      </c>
    </row>
    <row r="780" customFormat="false" ht="15" hidden="false" customHeight="false" outlineLevel="0" collapsed="false">
      <c r="A780" s="32" t="n">
        <v>45879</v>
      </c>
      <c r="B780" s="33" t="s">
        <v>49</v>
      </c>
      <c r="C780" s="33" t="s">
        <v>69</v>
      </c>
      <c r="D780" s="34" t="n">
        <v>164900</v>
      </c>
      <c r="E780" s="33" t="n">
        <v>14</v>
      </c>
      <c r="F780" s="34" t="n">
        <f aca="false">D780*E780</f>
        <v>2308600</v>
      </c>
      <c r="G780" s="33" t="s">
        <v>57</v>
      </c>
      <c r="H780" s="33" t="str">
        <f aca="false">INDEX(Products!$C$2:$C$51,MATCH(C780,Products!$B$2:$B$51,0))</f>
        <v>Scooter</v>
      </c>
    </row>
    <row r="781" customFormat="false" ht="15" hidden="false" customHeight="false" outlineLevel="0" collapsed="false">
      <c r="A781" s="32" t="n">
        <v>45879</v>
      </c>
      <c r="B781" s="33" t="s">
        <v>49</v>
      </c>
      <c r="C781" s="33" t="s">
        <v>67</v>
      </c>
      <c r="D781" s="34" t="n">
        <v>250000</v>
      </c>
      <c r="E781" s="33" t="n">
        <v>44</v>
      </c>
      <c r="F781" s="34" t="n">
        <f aca="false">D781*E781</f>
        <v>11000000</v>
      </c>
      <c r="G781" s="33" t="s">
        <v>57</v>
      </c>
      <c r="H781" s="33" t="str">
        <f aca="false">INDEX(Products!$C$2:$C$51,MATCH(C781,Products!$B$2:$B$51,0))</f>
        <v>Classic</v>
      </c>
    </row>
    <row r="782" customFormat="false" ht="15" hidden="false" customHeight="false" outlineLevel="0" collapsed="false">
      <c r="A782" s="32" t="n">
        <v>45879</v>
      </c>
      <c r="B782" s="33" t="s">
        <v>53</v>
      </c>
      <c r="C782" s="33" t="s">
        <v>70</v>
      </c>
      <c r="D782" s="34" t="n">
        <v>320000</v>
      </c>
      <c r="E782" s="33" t="n">
        <v>49</v>
      </c>
      <c r="F782" s="34" t="n">
        <f aca="false">D782*E782</f>
        <v>15680000</v>
      </c>
      <c r="G782" s="33" t="s">
        <v>57</v>
      </c>
      <c r="H782" s="33" t="str">
        <f aca="false">INDEX(Products!$C$2:$C$51,MATCH(C782,Products!$B$2:$B$51,0))</f>
        <v>Adventure</v>
      </c>
    </row>
    <row r="783" customFormat="false" ht="15" hidden="false" customHeight="false" outlineLevel="0" collapsed="false">
      <c r="A783" s="32" t="n">
        <v>45879</v>
      </c>
      <c r="B783" s="33" t="s">
        <v>53</v>
      </c>
      <c r="C783" s="33" t="s">
        <v>114</v>
      </c>
      <c r="D783" s="34" t="n">
        <v>319000</v>
      </c>
      <c r="E783" s="33" t="n">
        <v>31</v>
      </c>
      <c r="F783" s="34" t="n">
        <f aca="false">D783*E783</f>
        <v>9889000</v>
      </c>
      <c r="G783" s="33" t="s">
        <v>54</v>
      </c>
      <c r="H783" s="33" t="str">
        <f aca="false">INDEX(Products!$C$2:$C$51,MATCH(C783,Products!$B$2:$B$51,0))</f>
        <v>Scooter</v>
      </c>
    </row>
    <row r="784" customFormat="false" ht="15" hidden="false" customHeight="false" outlineLevel="0" collapsed="false">
      <c r="A784" s="32" t="n">
        <v>45879</v>
      </c>
      <c r="B784" s="33" t="s">
        <v>49</v>
      </c>
      <c r="C784" s="33" t="s">
        <v>120</v>
      </c>
      <c r="D784" s="34" t="n">
        <v>124000</v>
      </c>
      <c r="E784" s="33" t="n">
        <v>6</v>
      </c>
      <c r="F784" s="34" t="n">
        <f aca="false">D784*E784</f>
        <v>744000</v>
      </c>
      <c r="G784" s="33" t="s">
        <v>50</v>
      </c>
      <c r="H784" s="33" t="str">
        <f aca="false">INDEX(Products!$C$2:$C$51,MATCH(C784,Products!$B$2:$B$51,0))</f>
        <v>Scooter</v>
      </c>
    </row>
    <row r="785" customFormat="false" ht="15" hidden="false" customHeight="false" outlineLevel="0" collapsed="false">
      <c r="A785" s="32" t="n">
        <v>45879</v>
      </c>
      <c r="B785" s="33" t="s">
        <v>53</v>
      </c>
      <c r="C785" s="33" t="s">
        <v>116</v>
      </c>
      <c r="D785" s="34" t="n">
        <v>219000</v>
      </c>
      <c r="E785" s="33" t="n">
        <v>10</v>
      </c>
      <c r="F785" s="34" t="n">
        <f aca="false">D785*E785</f>
        <v>2190000</v>
      </c>
      <c r="G785" s="33" t="s">
        <v>50</v>
      </c>
      <c r="H785" s="33" t="str">
        <f aca="false">INDEX(Products!$C$2:$C$51,MATCH(C785,Products!$B$2:$B$51,0))</f>
        <v>Scooter</v>
      </c>
    </row>
    <row r="786" customFormat="false" ht="15" hidden="false" customHeight="false" outlineLevel="0" collapsed="false">
      <c r="A786" s="32" t="n">
        <v>45880</v>
      </c>
      <c r="B786" s="33" t="s">
        <v>49</v>
      </c>
      <c r="C786" s="33" t="s">
        <v>130</v>
      </c>
      <c r="D786" s="34" t="n">
        <v>119900</v>
      </c>
      <c r="E786" s="33" t="n">
        <v>2</v>
      </c>
      <c r="F786" s="34" t="n">
        <f aca="false">D786*E786</f>
        <v>239800</v>
      </c>
      <c r="G786" s="33" t="s">
        <v>54</v>
      </c>
      <c r="H786" s="33" t="str">
        <f aca="false">INDEX(Products!$C$2:$C$51,MATCH(C786,Products!$B$2:$B$51,0))</f>
        <v>Underbone</v>
      </c>
    </row>
    <row r="787" customFormat="false" ht="15" hidden="false" customHeight="false" outlineLevel="0" collapsed="false">
      <c r="A787" s="32" t="n">
        <v>45880</v>
      </c>
      <c r="B787" s="33" t="s">
        <v>53</v>
      </c>
      <c r="C787" s="33" t="s">
        <v>62</v>
      </c>
      <c r="D787" s="34" t="n">
        <v>650000</v>
      </c>
      <c r="E787" s="33" t="n">
        <v>10</v>
      </c>
      <c r="F787" s="34" t="n">
        <f aca="false">D787*E787</f>
        <v>6500000</v>
      </c>
      <c r="G787" s="33" t="s">
        <v>57</v>
      </c>
      <c r="H787" s="33" t="str">
        <f aca="false">INDEX(Products!$C$2:$C$51,MATCH(C787,Products!$B$2:$B$51,0))</f>
        <v>Cruiser</v>
      </c>
    </row>
    <row r="788" customFormat="false" ht="15" hidden="false" customHeight="false" outlineLevel="0" collapsed="false">
      <c r="A788" s="32" t="n">
        <v>45880</v>
      </c>
      <c r="B788" s="33" t="s">
        <v>49</v>
      </c>
      <c r="C788" s="33" t="s">
        <v>101</v>
      </c>
      <c r="D788" s="34" t="n">
        <v>328000</v>
      </c>
      <c r="E788" s="33" t="n">
        <v>12</v>
      </c>
      <c r="F788" s="34" t="n">
        <f aca="false">D788*E788</f>
        <v>3936000</v>
      </c>
      <c r="G788" s="33" t="s">
        <v>57</v>
      </c>
      <c r="H788" s="33" t="str">
        <f aca="false">INDEX(Products!$C$2:$C$51,MATCH(C788,Products!$B$2:$B$51,0))</f>
        <v>Cafe Racer</v>
      </c>
    </row>
    <row r="789" customFormat="false" ht="15" hidden="false" customHeight="false" outlineLevel="0" collapsed="false">
      <c r="A789" s="32" t="n">
        <v>45880</v>
      </c>
      <c r="B789" s="33" t="s">
        <v>53</v>
      </c>
      <c r="C789" s="33" t="s">
        <v>108</v>
      </c>
      <c r="D789" s="34" t="n">
        <v>331000</v>
      </c>
      <c r="E789" s="33" t="n">
        <v>14</v>
      </c>
      <c r="F789" s="34" t="n">
        <f aca="false">D789*E789</f>
        <v>4634000</v>
      </c>
      <c r="G789" s="33" t="s">
        <v>57</v>
      </c>
      <c r="H789" s="33" t="str">
        <f aca="false">INDEX(Products!$C$2:$C$51,MATCH(C789,Products!$B$2:$B$51,0))</f>
        <v>Naked Bike</v>
      </c>
    </row>
    <row r="790" customFormat="false" ht="15" hidden="false" customHeight="false" outlineLevel="0" collapsed="false">
      <c r="A790" s="32" t="n">
        <v>45880</v>
      </c>
      <c r="B790" s="33" t="s">
        <v>49</v>
      </c>
      <c r="C790" s="33" t="s">
        <v>117</v>
      </c>
      <c r="D790" s="34" t="n">
        <v>210000</v>
      </c>
      <c r="E790" s="33" t="n">
        <v>10</v>
      </c>
      <c r="F790" s="34" t="n">
        <f aca="false">D790*E790</f>
        <v>2100000</v>
      </c>
      <c r="G790" s="33" t="s">
        <v>54</v>
      </c>
      <c r="H790" s="33" t="str">
        <f aca="false">INDEX(Products!$C$2:$C$51,MATCH(C790,Products!$B$2:$B$51,0))</f>
        <v>Scooter</v>
      </c>
    </row>
    <row r="791" customFormat="false" ht="15" hidden="false" customHeight="false" outlineLevel="0" collapsed="false">
      <c r="A791" s="32" t="n">
        <v>45880</v>
      </c>
      <c r="B791" s="33" t="s">
        <v>53</v>
      </c>
      <c r="C791" s="33" t="s">
        <v>102</v>
      </c>
      <c r="D791" s="34" t="n">
        <v>269000</v>
      </c>
      <c r="E791" s="33" t="n">
        <v>41</v>
      </c>
      <c r="F791" s="34" t="n">
        <f aca="false">D791*E791</f>
        <v>11029000</v>
      </c>
      <c r="G791" s="33" t="s">
        <v>50</v>
      </c>
      <c r="H791" s="33" t="str">
        <f aca="false">INDEX(Products!$C$2:$C$51,MATCH(C791,Products!$B$2:$B$51,0))</f>
        <v>Cafe Racer</v>
      </c>
    </row>
    <row r="792" customFormat="false" ht="15" hidden="false" customHeight="false" outlineLevel="0" collapsed="false">
      <c r="A792" s="32" t="n">
        <v>45880</v>
      </c>
      <c r="B792" s="33" t="s">
        <v>53</v>
      </c>
      <c r="C792" s="33" t="s">
        <v>52</v>
      </c>
      <c r="D792" s="34" t="n">
        <v>398000</v>
      </c>
      <c r="E792" s="33" t="n">
        <v>26</v>
      </c>
      <c r="F792" s="34" t="n">
        <f aca="false">D792*E792</f>
        <v>10348000</v>
      </c>
      <c r="G792" s="33" t="s">
        <v>57</v>
      </c>
      <c r="H792" s="33" t="str">
        <f aca="false">INDEX(Products!$C$2:$C$51,MATCH(C792,Products!$B$2:$B$51,0))</f>
        <v>Cruiser</v>
      </c>
    </row>
    <row r="793" customFormat="false" ht="15" hidden="false" customHeight="false" outlineLevel="0" collapsed="false">
      <c r="A793" s="32" t="n">
        <v>45880</v>
      </c>
      <c r="B793" s="33" t="s">
        <v>49</v>
      </c>
      <c r="C793" s="33" t="s">
        <v>71</v>
      </c>
      <c r="D793" s="34" t="n">
        <v>165000</v>
      </c>
      <c r="E793" s="33" t="n">
        <v>2</v>
      </c>
      <c r="F793" s="34" t="n">
        <f aca="false">D793*E793</f>
        <v>330000</v>
      </c>
      <c r="G793" s="33" t="s">
        <v>57</v>
      </c>
      <c r="H793" s="33" t="str">
        <f aca="false">INDEX(Products!$C$2:$C$51,MATCH(C793,Products!$B$2:$B$51,0))</f>
        <v>Naked Bike</v>
      </c>
    </row>
    <row r="794" customFormat="false" ht="15" hidden="false" customHeight="false" outlineLevel="0" collapsed="false">
      <c r="A794" s="32" t="n">
        <v>45881</v>
      </c>
      <c r="B794" s="33" t="s">
        <v>49</v>
      </c>
      <c r="C794" s="33" t="s">
        <v>52</v>
      </c>
      <c r="D794" s="34" t="n">
        <v>398000</v>
      </c>
      <c r="E794" s="33" t="n">
        <v>6</v>
      </c>
      <c r="F794" s="34" t="n">
        <f aca="false">D794*E794</f>
        <v>2388000</v>
      </c>
      <c r="G794" s="33" t="s">
        <v>50</v>
      </c>
      <c r="H794" s="33" t="str">
        <f aca="false">INDEX(Products!$C$2:$C$51,MATCH(C794,Products!$B$2:$B$51,0))</f>
        <v>Cruiser</v>
      </c>
    </row>
    <row r="795" customFormat="false" ht="15" hidden="false" customHeight="false" outlineLevel="0" collapsed="false">
      <c r="A795" s="32" t="n">
        <v>45881</v>
      </c>
      <c r="B795" s="33" t="s">
        <v>53</v>
      </c>
      <c r="C795" s="33" t="s">
        <v>118</v>
      </c>
      <c r="D795" s="34" t="n">
        <v>151900</v>
      </c>
      <c r="E795" s="33" t="n">
        <v>3</v>
      </c>
      <c r="F795" s="34" t="n">
        <f aca="false">D795*E795</f>
        <v>455700</v>
      </c>
      <c r="G795" s="33" t="s">
        <v>57</v>
      </c>
      <c r="H795" s="33" t="str">
        <f aca="false">INDEX(Products!$C$2:$C$51,MATCH(C795,Products!$B$2:$B$51,0))</f>
        <v>Scooter</v>
      </c>
    </row>
    <row r="796" customFormat="false" ht="15" hidden="false" customHeight="false" outlineLevel="0" collapsed="false">
      <c r="A796" s="32" t="n">
        <v>45881</v>
      </c>
      <c r="B796" s="33" t="s">
        <v>49</v>
      </c>
      <c r="C796" s="33" t="s">
        <v>106</v>
      </c>
      <c r="D796" s="34" t="n">
        <v>284900</v>
      </c>
      <c r="E796" s="33" t="n">
        <v>2</v>
      </c>
      <c r="F796" s="34" t="n">
        <f aca="false">D796*E796</f>
        <v>569800</v>
      </c>
      <c r="G796" s="33" t="s">
        <v>57</v>
      </c>
      <c r="H796" s="33" t="str">
        <f aca="false">INDEX(Products!$C$2:$C$51,MATCH(C796,Products!$B$2:$B$51,0))</f>
        <v>Dual-Sport</v>
      </c>
    </row>
    <row r="797" customFormat="false" ht="15" hidden="false" customHeight="false" outlineLevel="0" collapsed="false">
      <c r="A797" s="32" t="n">
        <v>45881</v>
      </c>
      <c r="B797" s="33" t="s">
        <v>49</v>
      </c>
      <c r="C797" s="33" t="s">
        <v>121</v>
      </c>
      <c r="D797" s="34" t="n">
        <v>80900</v>
      </c>
      <c r="E797" s="33" t="n">
        <v>46</v>
      </c>
      <c r="F797" s="34" t="n">
        <f aca="false">D797*E797</f>
        <v>3721400</v>
      </c>
      <c r="G797" s="33" t="s">
        <v>50</v>
      </c>
      <c r="H797" s="33" t="str">
        <f aca="false">INDEX(Products!$C$2:$C$51,MATCH(C797,Products!$B$2:$B$51,0))</f>
        <v>Scooter</v>
      </c>
    </row>
    <row r="798" customFormat="false" ht="15" hidden="false" customHeight="false" outlineLevel="0" collapsed="false">
      <c r="A798" s="32" t="n">
        <v>45881</v>
      </c>
      <c r="B798" s="33" t="s">
        <v>49</v>
      </c>
      <c r="C798" s="33" t="s">
        <v>119</v>
      </c>
      <c r="D798" s="34" t="n">
        <v>128000</v>
      </c>
      <c r="E798" s="33" t="n">
        <v>1</v>
      </c>
      <c r="F798" s="34" t="n">
        <f aca="false">D798*E798</f>
        <v>128000</v>
      </c>
      <c r="G798" s="33" t="s">
        <v>50</v>
      </c>
      <c r="H798" s="33" t="str">
        <f aca="false">INDEX(Products!$C$2:$C$51,MATCH(C798,Products!$B$2:$B$51,0))</f>
        <v>Scooter</v>
      </c>
    </row>
    <row r="799" customFormat="false" ht="15" hidden="false" customHeight="false" outlineLevel="0" collapsed="false">
      <c r="A799" s="32" t="n">
        <v>45881</v>
      </c>
      <c r="B799" s="33" t="s">
        <v>49</v>
      </c>
      <c r="C799" s="33" t="s">
        <v>103</v>
      </c>
      <c r="D799" s="34" t="n">
        <v>48000</v>
      </c>
      <c r="E799" s="33" t="n">
        <v>33</v>
      </c>
      <c r="F799" s="34" t="n">
        <f aca="false">D799*E799</f>
        <v>1584000</v>
      </c>
      <c r="G799" s="33" t="s">
        <v>57</v>
      </c>
      <c r="H799" s="33" t="str">
        <f aca="false">INDEX(Products!$C$2:$C$51,MATCH(C799,Products!$B$2:$B$51,0))</f>
        <v>Commuter</v>
      </c>
    </row>
    <row r="800" customFormat="false" ht="15" hidden="false" customHeight="false" outlineLevel="0" collapsed="false">
      <c r="A800" s="32" t="n">
        <v>45881</v>
      </c>
      <c r="B800" s="33" t="s">
        <v>49</v>
      </c>
      <c r="C800" s="33" t="s">
        <v>108</v>
      </c>
      <c r="D800" s="34" t="n">
        <v>331000</v>
      </c>
      <c r="E800" s="33" t="n">
        <v>17</v>
      </c>
      <c r="F800" s="34" t="n">
        <f aca="false">D800*E800</f>
        <v>5627000</v>
      </c>
      <c r="G800" s="33" t="s">
        <v>57</v>
      </c>
      <c r="H800" s="33" t="str">
        <f aca="false">INDEX(Products!$C$2:$C$51,MATCH(C800,Products!$B$2:$B$51,0))</f>
        <v>Naked Bike</v>
      </c>
    </row>
    <row r="801" customFormat="false" ht="15" hidden="false" customHeight="false" outlineLevel="0" collapsed="false">
      <c r="A801" s="32" t="n">
        <v>45881</v>
      </c>
      <c r="B801" s="33" t="s">
        <v>49</v>
      </c>
      <c r="C801" s="33" t="s">
        <v>66</v>
      </c>
      <c r="D801" s="34" t="n">
        <v>398000</v>
      </c>
      <c r="E801" s="33" t="n">
        <v>17</v>
      </c>
      <c r="F801" s="34" t="n">
        <f aca="false">D801*E801</f>
        <v>6766000</v>
      </c>
      <c r="G801" s="33" t="s">
        <v>50</v>
      </c>
      <c r="H801" s="33" t="str">
        <f aca="false">INDEX(Products!$C$2:$C$51,MATCH(C801,Products!$B$2:$B$51,0))</f>
        <v>Scooter</v>
      </c>
    </row>
    <row r="802" customFormat="false" ht="15" hidden="false" customHeight="false" outlineLevel="0" collapsed="false">
      <c r="A802" s="32" t="n">
        <v>45882</v>
      </c>
      <c r="B802" s="33" t="s">
        <v>49</v>
      </c>
      <c r="C802" s="33" t="s">
        <v>125</v>
      </c>
      <c r="D802" s="34" t="n">
        <v>340000</v>
      </c>
      <c r="E802" s="33" t="n">
        <v>8</v>
      </c>
      <c r="F802" s="34" t="n">
        <f aca="false">D802*E802</f>
        <v>2720000</v>
      </c>
      <c r="G802" s="33" t="s">
        <v>57</v>
      </c>
      <c r="H802" s="33" t="str">
        <f aca="false">INDEX(Products!$C$2:$C$51,MATCH(C802,Products!$B$2:$B$51,0))</f>
        <v>Sport</v>
      </c>
    </row>
    <row r="803" customFormat="false" ht="15" hidden="false" customHeight="false" outlineLevel="0" collapsed="false">
      <c r="A803" s="32" t="n">
        <v>45882</v>
      </c>
      <c r="B803" s="33" t="s">
        <v>49</v>
      </c>
      <c r="C803" s="33" t="s">
        <v>105</v>
      </c>
      <c r="D803" s="34" t="n">
        <v>349000</v>
      </c>
      <c r="E803" s="33" t="n">
        <v>1</v>
      </c>
      <c r="F803" s="34" t="n">
        <f aca="false">D803*E803</f>
        <v>349000</v>
      </c>
      <c r="G803" s="33" t="s">
        <v>57</v>
      </c>
      <c r="H803" s="33" t="str">
        <f aca="false">INDEX(Products!$C$2:$C$51,MATCH(C803,Products!$B$2:$B$51,0))</f>
        <v>Cruiser</v>
      </c>
    </row>
    <row r="804" customFormat="false" ht="15" hidden="false" customHeight="false" outlineLevel="0" collapsed="false">
      <c r="A804" s="32" t="n">
        <v>45882</v>
      </c>
      <c r="B804" s="33" t="s">
        <v>53</v>
      </c>
      <c r="C804" s="33" t="s">
        <v>102</v>
      </c>
      <c r="D804" s="34" t="n">
        <v>269000</v>
      </c>
      <c r="E804" s="33" t="n">
        <v>13</v>
      </c>
      <c r="F804" s="34" t="n">
        <f aca="false">D804*E804</f>
        <v>3497000</v>
      </c>
      <c r="G804" s="33" t="s">
        <v>57</v>
      </c>
      <c r="H804" s="33" t="str">
        <f aca="false">INDEX(Products!$C$2:$C$51,MATCH(C804,Products!$B$2:$B$51,0))</f>
        <v>Cafe Racer</v>
      </c>
    </row>
    <row r="805" customFormat="false" ht="15" hidden="false" customHeight="false" outlineLevel="0" collapsed="false">
      <c r="A805" s="32" t="n">
        <v>45882</v>
      </c>
      <c r="B805" s="33" t="s">
        <v>49</v>
      </c>
      <c r="C805" s="33" t="s">
        <v>51</v>
      </c>
      <c r="D805" s="34" t="n">
        <v>689000</v>
      </c>
      <c r="E805" s="33" t="n">
        <v>4</v>
      </c>
      <c r="F805" s="34" t="n">
        <f aca="false">D805*E805</f>
        <v>2756000</v>
      </c>
      <c r="G805" s="33" t="s">
        <v>50</v>
      </c>
      <c r="H805" s="33" t="str">
        <f aca="false">INDEX(Products!$C$2:$C$51,MATCH(C805,Products!$B$2:$B$51,0))</f>
        <v>Heritage</v>
      </c>
    </row>
    <row r="806" customFormat="false" ht="15" hidden="false" customHeight="false" outlineLevel="0" collapsed="false">
      <c r="A806" s="32" t="n">
        <v>45882</v>
      </c>
      <c r="B806" s="33" t="s">
        <v>49</v>
      </c>
      <c r="C806" s="33" t="s">
        <v>105</v>
      </c>
      <c r="D806" s="34" t="n">
        <v>349000</v>
      </c>
      <c r="E806" s="33" t="n">
        <v>9</v>
      </c>
      <c r="F806" s="34" t="n">
        <f aca="false">D806*E806</f>
        <v>3141000</v>
      </c>
      <c r="G806" s="33" t="s">
        <v>57</v>
      </c>
      <c r="H806" s="33" t="str">
        <f aca="false">INDEX(Products!$C$2:$C$51,MATCH(C806,Products!$B$2:$B$51,0))</f>
        <v>Cruiser</v>
      </c>
    </row>
    <row r="807" customFormat="false" ht="15" hidden="false" customHeight="false" outlineLevel="0" collapsed="false">
      <c r="A807" s="32" t="n">
        <v>45882</v>
      </c>
      <c r="B807" s="33" t="s">
        <v>49</v>
      </c>
      <c r="C807" s="33" t="s">
        <v>120</v>
      </c>
      <c r="D807" s="34" t="n">
        <v>124000</v>
      </c>
      <c r="E807" s="33" t="n">
        <v>6</v>
      </c>
      <c r="F807" s="34" t="n">
        <f aca="false">D807*E807</f>
        <v>744000</v>
      </c>
      <c r="G807" s="33" t="s">
        <v>54</v>
      </c>
      <c r="H807" s="33" t="str">
        <f aca="false">INDEX(Products!$C$2:$C$51,MATCH(C807,Products!$B$2:$B$51,0))</f>
        <v>Scooter</v>
      </c>
    </row>
    <row r="808" customFormat="false" ht="15" hidden="false" customHeight="false" outlineLevel="0" collapsed="false">
      <c r="A808" s="32" t="n">
        <v>45882</v>
      </c>
      <c r="B808" s="33" t="s">
        <v>49</v>
      </c>
      <c r="C808" s="33" t="s">
        <v>101</v>
      </c>
      <c r="D808" s="34" t="n">
        <v>328000</v>
      </c>
      <c r="E808" s="33" t="n">
        <v>31</v>
      </c>
      <c r="F808" s="34" t="n">
        <f aca="false">D808*E808</f>
        <v>10168000</v>
      </c>
      <c r="G808" s="33" t="s">
        <v>50</v>
      </c>
      <c r="H808" s="33" t="str">
        <f aca="false">INDEX(Products!$C$2:$C$51,MATCH(C808,Products!$B$2:$B$51,0))</f>
        <v>Cafe Racer</v>
      </c>
    </row>
    <row r="809" customFormat="false" ht="15" hidden="false" customHeight="false" outlineLevel="0" collapsed="false">
      <c r="A809" s="32" t="n">
        <v>45882</v>
      </c>
      <c r="B809" s="33" t="s">
        <v>53</v>
      </c>
      <c r="C809" s="33" t="s">
        <v>62</v>
      </c>
      <c r="D809" s="34" t="n">
        <v>650000</v>
      </c>
      <c r="E809" s="33" t="n">
        <v>4</v>
      </c>
      <c r="F809" s="34" t="n">
        <f aca="false">D809*E809</f>
        <v>2600000</v>
      </c>
      <c r="G809" s="33" t="s">
        <v>50</v>
      </c>
      <c r="H809" s="33" t="str">
        <f aca="false">INDEX(Products!$C$2:$C$51,MATCH(C809,Products!$B$2:$B$51,0))</f>
        <v>Cruiser</v>
      </c>
    </row>
    <row r="810" customFormat="false" ht="15" hidden="false" customHeight="false" outlineLevel="0" collapsed="false">
      <c r="A810" s="32" t="n">
        <v>45882</v>
      </c>
      <c r="B810" s="33" t="s">
        <v>49</v>
      </c>
      <c r="C810" s="33" t="s">
        <v>126</v>
      </c>
      <c r="D810" s="34" t="n">
        <v>198000</v>
      </c>
      <c r="E810" s="33" t="n">
        <v>19</v>
      </c>
      <c r="F810" s="34" t="n">
        <f aca="false">D810*E810</f>
        <v>3762000</v>
      </c>
      <c r="G810" s="33" t="s">
        <v>57</v>
      </c>
      <c r="H810" s="33" t="str">
        <f aca="false">INDEX(Products!$C$2:$C$51,MATCH(C810,Products!$B$2:$B$51,0))</f>
        <v>Sport</v>
      </c>
    </row>
    <row r="811" customFormat="false" ht="15" hidden="false" customHeight="false" outlineLevel="0" collapsed="false">
      <c r="A811" s="32" t="n">
        <v>45882</v>
      </c>
      <c r="B811" s="33" t="s">
        <v>53</v>
      </c>
      <c r="C811" s="33" t="s">
        <v>55</v>
      </c>
      <c r="D811" s="34" t="n">
        <v>67900</v>
      </c>
      <c r="E811" s="33" t="n">
        <v>43</v>
      </c>
      <c r="F811" s="34" t="n">
        <f aca="false">D811*E811</f>
        <v>2919700</v>
      </c>
      <c r="G811" s="33" t="s">
        <v>54</v>
      </c>
      <c r="H811" s="33" t="str">
        <f aca="false">INDEX(Products!$C$2:$C$51,MATCH(C811,Products!$B$2:$B$51,0))</f>
        <v>Commuter</v>
      </c>
    </row>
    <row r="812" customFormat="false" ht="15" hidden="false" customHeight="false" outlineLevel="0" collapsed="false">
      <c r="A812" s="32" t="n">
        <v>45883</v>
      </c>
      <c r="B812" s="33" t="s">
        <v>53</v>
      </c>
      <c r="C812" s="33" t="s">
        <v>113</v>
      </c>
      <c r="D812" s="34" t="n">
        <v>182000</v>
      </c>
      <c r="E812" s="33" t="n">
        <v>33</v>
      </c>
      <c r="F812" s="34" t="n">
        <f aca="false">D812*E812</f>
        <v>6006000</v>
      </c>
      <c r="G812" s="33" t="s">
        <v>50</v>
      </c>
      <c r="H812" s="33" t="str">
        <f aca="false">INDEX(Products!$C$2:$C$51,MATCH(C812,Products!$B$2:$B$51,0))</f>
        <v>Retro</v>
      </c>
    </row>
    <row r="813" customFormat="false" ht="15" hidden="false" customHeight="false" outlineLevel="0" collapsed="false">
      <c r="A813" s="32" t="n">
        <v>45883</v>
      </c>
      <c r="B813" s="33" t="s">
        <v>53</v>
      </c>
      <c r="C813" s="33" t="s">
        <v>118</v>
      </c>
      <c r="D813" s="34" t="n">
        <v>151900</v>
      </c>
      <c r="E813" s="33" t="n">
        <v>41</v>
      </c>
      <c r="F813" s="34" t="n">
        <f aca="false">D813*E813</f>
        <v>6227900</v>
      </c>
      <c r="G813" s="33" t="s">
        <v>54</v>
      </c>
      <c r="H813" s="33" t="str">
        <f aca="false">INDEX(Products!$C$2:$C$51,MATCH(C813,Products!$B$2:$B$51,0))</f>
        <v>Scooter</v>
      </c>
    </row>
    <row r="814" customFormat="false" ht="15" hidden="false" customHeight="false" outlineLevel="0" collapsed="false">
      <c r="A814" s="32" t="n">
        <v>45883</v>
      </c>
      <c r="B814" s="33" t="s">
        <v>53</v>
      </c>
      <c r="C814" s="33" t="s">
        <v>108</v>
      </c>
      <c r="D814" s="34" t="n">
        <v>331000</v>
      </c>
      <c r="E814" s="33" t="n">
        <v>45</v>
      </c>
      <c r="F814" s="34" t="n">
        <f aca="false">D814*E814</f>
        <v>14895000</v>
      </c>
      <c r="G814" s="33" t="s">
        <v>57</v>
      </c>
      <c r="H814" s="33" t="str">
        <f aca="false">INDEX(Products!$C$2:$C$51,MATCH(C814,Products!$B$2:$B$51,0))</f>
        <v>Naked Bike</v>
      </c>
    </row>
    <row r="815" customFormat="false" ht="15" hidden="false" customHeight="false" outlineLevel="0" collapsed="false">
      <c r="A815" s="32" t="n">
        <v>45883</v>
      </c>
      <c r="B815" s="33" t="s">
        <v>49</v>
      </c>
      <c r="C815" s="33" t="s">
        <v>127</v>
      </c>
      <c r="D815" s="34" t="n">
        <v>199900</v>
      </c>
      <c r="E815" s="33" t="n">
        <v>12</v>
      </c>
      <c r="F815" s="34" t="n">
        <f aca="false">D815*E815</f>
        <v>2398800</v>
      </c>
      <c r="G815" s="33" t="s">
        <v>54</v>
      </c>
      <c r="H815" s="33" t="str">
        <f aca="false">INDEX(Products!$C$2:$C$51,MATCH(C815,Products!$B$2:$B$51,0))</f>
        <v>Sport Touring</v>
      </c>
    </row>
    <row r="816" customFormat="false" ht="15" hidden="false" customHeight="false" outlineLevel="0" collapsed="false">
      <c r="A816" s="32" t="n">
        <v>45883</v>
      </c>
      <c r="B816" s="33" t="s">
        <v>56</v>
      </c>
      <c r="C816" s="33" t="s">
        <v>60</v>
      </c>
      <c r="D816" s="34" t="n">
        <v>599000</v>
      </c>
      <c r="E816" s="33" t="n">
        <v>14</v>
      </c>
      <c r="F816" s="34" t="n">
        <f aca="false">D816*E816</f>
        <v>8386000</v>
      </c>
      <c r="G816" s="33" t="s">
        <v>57</v>
      </c>
      <c r="H816" s="33" t="str">
        <f aca="false">INDEX(Products!$C$2:$C$51,MATCH(C816,Products!$B$2:$B$51,0))</f>
        <v>Naked Bike</v>
      </c>
    </row>
    <row r="817" customFormat="false" ht="15" hidden="false" customHeight="false" outlineLevel="0" collapsed="false">
      <c r="A817" s="32" t="n">
        <v>45883</v>
      </c>
      <c r="B817" s="33" t="s">
        <v>49</v>
      </c>
      <c r="C817" s="33" t="s">
        <v>113</v>
      </c>
      <c r="D817" s="34" t="n">
        <v>182000</v>
      </c>
      <c r="E817" s="33" t="n">
        <v>5</v>
      </c>
      <c r="F817" s="34" t="n">
        <f aca="false">D817*E817</f>
        <v>910000</v>
      </c>
      <c r="G817" s="33" t="s">
        <v>54</v>
      </c>
      <c r="H817" s="33" t="str">
        <f aca="false">INDEX(Products!$C$2:$C$51,MATCH(C817,Products!$B$2:$B$51,0))</f>
        <v>Retro</v>
      </c>
    </row>
    <row r="818" customFormat="false" ht="15" hidden="false" customHeight="false" outlineLevel="0" collapsed="false">
      <c r="A818" s="32" t="n">
        <v>45883</v>
      </c>
      <c r="B818" s="33" t="s">
        <v>49</v>
      </c>
      <c r="C818" s="33" t="s">
        <v>61</v>
      </c>
      <c r="D818" s="34" t="n">
        <v>299000</v>
      </c>
      <c r="E818" s="33" t="n">
        <v>20</v>
      </c>
      <c r="F818" s="34" t="n">
        <f aca="false">D818*E818</f>
        <v>5980000</v>
      </c>
      <c r="G818" s="33" t="s">
        <v>54</v>
      </c>
      <c r="H818" s="33" t="str">
        <f aca="false">INDEX(Products!$C$2:$C$51,MATCH(C818,Products!$B$2:$B$51,0))</f>
        <v>Dual-Sport</v>
      </c>
    </row>
    <row r="819" customFormat="false" ht="15" hidden="false" customHeight="false" outlineLevel="0" collapsed="false">
      <c r="A819" s="32" t="n">
        <v>45883</v>
      </c>
      <c r="B819" s="33" t="s">
        <v>53</v>
      </c>
      <c r="C819" s="33" t="s">
        <v>99</v>
      </c>
      <c r="D819" s="34" t="n">
        <v>369000</v>
      </c>
      <c r="E819" s="33" t="n">
        <v>3</v>
      </c>
      <c r="F819" s="34" t="n">
        <f aca="false">D819*E819</f>
        <v>1107000</v>
      </c>
      <c r="G819" s="33" t="s">
        <v>54</v>
      </c>
      <c r="H819" s="33" t="str">
        <f aca="false">INDEX(Products!$C$2:$C$51,MATCH(C819,Products!$B$2:$B$51,0))</f>
        <v>Adventure</v>
      </c>
    </row>
    <row r="820" customFormat="false" ht="15" hidden="false" customHeight="false" outlineLevel="0" collapsed="false">
      <c r="A820" s="32" t="n">
        <v>45883</v>
      </c>
      <c r="B820" s="33" t="s">
        <v>49</v>
      </c>
      <c r="C820" s="33" t="s">
        <v>65</v>
      </c>
      <c r="D820" s="34" t="n">
        <v>345000</v>
      </c>
      <c r="E820" s="33" t="n">
        <v>18</v>
      </c>
      <c r="F820" s="34" t="n">
        <f aca="false">D820*E820</f>
        <v>6210000</v>
      </c>
      <c r="G820" s="33" t="s">
        <v>54</v>
      </c>
      <c r="H820" s="33" t="str">
        <f aca="false">INDEX(Products!$C$2:$C$51,MATCH(C820,Products!$B$2:$B$51,0))</f>
        <v>Touring</v>
      </c>
    </row>
    <row r="821" customFormat="false" ht="15" hidden="false" customHeight="false" outlineLevel="0" collapsed="false">
      <c r="A821" s="32" t="n">
        <v>45883</v>
      </c>
      <c r="B821" s="33" t="s">
        <v>53</v>
      </c>
      <c r="C821" s="33" t="s">
        <v>100</v>
      </c>
      <c r="D821" s="34" t="n">
        <v>78900</v>
      </c>
      <c r="E821" s="33" t="n">
        <v>11</v>
      </c>
      <c r="F821" s="34" t="n">
        <f aca="false">D821*E821</f>
        <v>867900</v>
      </c>
      <c r="G821" s="33" t="s">
        <v>50</v>
      </c>
      <c r="H821" s="33" t="str">
        <f aca="false">INDEX(Products!$C$2:$C$51,MATCH(C821,Products!$B$2:$B$51,0))</f>
        <v>Adventure</v>
      </c>
    </row>
    <row r="822" customFormat="false" ht="15" hidden="false" customHeight="false" outlineLevel="0" collapsed="false">
      <c r="A822" s="32" t="n">
        <v>45883</v>
      </c>
      <c r="B822" s="33" t="s">
        <v>53</v>
      </c>
      <c r="C822" s="33" t="s">
        <v>121</v>
      </c>
      <c r="D822" s="34" t="n">
        <v>80900</v>
      </c>
      <c r="E822" s="33" t="n">
        <v>17</v>
      </c>
      <c r="F822" s="34" t="n">
        <f aca="false">D822*E822</f>
        <v>1375300</v>
      </c>
      <c r="G822" s="33" t="s">
        <v>50</v>
      </c>
      <c r="H822" s="33" t="str">
        <f aca="false">INDEX(Products!$C$2:$C$51,MATCH(C822,Products!$B$2:$B$51,0))</f>
        <v>Scooter</v>
      </c>
    </row>
    <row r="823" customFormat="false" ht="15" hidden="false" customHeight="false" outlineLevel="0" collapsed="false">
      <c r="A823" s="32" t="n">
        <v>45883</v>
      </c>
      <c r="B823" s="33" t="s">
        <v>49</v>
      </c>
      <c r="C823" s="33" t="s">
        <v>120</v>
      </c>
      <c r="D823" s="34" t="n">
        <v>124000</v>
      </c>
      <c r="E823" s="33" t="n">
        <v>19</v>
      </c>
      <c r="F823" s="34" t="n">
        <f aca="false">D823*E823</f>
        <v>2356000</v>
      </c>
      <c r="G823" s="33" t="s">
        <v>50</v>
      </c>
      <c r="H823" s="33" t="str">
        <f aca="false">INDEX(Products!$C$2:$C$51,MATCH(C823,Products!$B$2:$B$51,0))</f>
        <v>Scooter</v>
      </c>
    </row>
    <row r="824" customFormat="false" ht="15" hidden="false" customHeight="false" outlineLevel="0" collapsed="false">
      <c r="A824" s="32" t="n">
        <v>45883</v>
      </c>
      <c r="B824" s="33" t="s">
        <v>49</v>
      </c>
      <c r="C824" s="33" t="s">
        <v>67</v>
      </c>
      <c r="D824" s="34" t="n">
        <v>250000</v>
      </c>
      <c r="E824" s="33" t="n">
        <v>34</v>
      </c>
      <c r="F824" s="34" t="n">
        <f aca="false">D824*E824</f>
        <v>8500000</v>
      </c>
      <c r="G824" s="33" t="s">
        <v>54</v>
      </c>
      <c r="H824" s="33" t="str">
        <f aca="false">INDEX(Products!$C$2:$C$51,MATCH(C824,Products!$B$2:$B$51,0))</f>
        <v>Classic</v>
      </c>
    </row>
    <row r="825" customFormat="false" ht="15" hidden="false" customHeight="false" outlineLevel="0" collapsed="false">
      <c r="A825" s="32" t="n">
        <v>45883</v>
      </c>
      <c r="B825" s="33" t="s">
        <v>49</v>
      </c>
      <c r="C825" s="33" t="s">
        <v>69</v>
      </c>
      <c r="D825" s="34" t="n">
        <v>164900</v>
      </c>
      <c r="E825" s="33" t="n">
        <v>17</v>
      </c>
      <c r="F825" s="34" t="n">
        <f aca="false">D825*E825</f>
        <v>2803300</v>
      </c>
      <c r="G825" s="33" t="s">
        <v>50</v>
      </c>
      <c r="H825" s="33" t="str">
        <f aca="false">INDEX(Products!$C$2:$C$51,MATCH(C825,Products!$B$2:$B$51,0))</f>
        <v>Scooter</v>
      </c>
    </row>
    <row r="826" customFormat="false" ht="15" hidden="false" customHeight="false" outlineLevel="0" collapsed="false">
      <c r="A826" s="32" t="n">
        <v>45883</v>
      </c>
      <c r="B826" s="33" t="s">
        <v>49</v>
      </c>
      <c r="C826" s="33" t="s">
        <v>123</v>
      </c>
      <c r="D826" s="34" t="n">
        <v>79900</v>
      </c>
      <c r="E826" s="33" t="n">
        <v>5</v>
      </c>
      <c r="F826" s="34" t="n">
        <f aca="false">D826*E826</f>
        <v>399500</v>
      </c>
      <c r="G826" s="33" t="s">
        <v>54</v>
      </c>
      <c r="H826" s="33" t="str">
        <f aca="false">INDEX(Products!$C$2:$C$51,MATCH(C826,Products!$B$2:$B$51,0))</f>
        <v>Scooter</v>
      </c>
    </row>
    <row r="827" customFormat="false" ht="15" hidden="false" customHeight="false" outlineLevel="0" collapsed="false">
      <c r="A827" s="32" t="n">
        <v>45884</v>
      </c>
      <c r="B827" s="33" t="s">
        <v>49</v>
      </c>
      <c r="C827" s="33" t="s">
        <v>68</v>
      </c>
      <c r="D827" s="34" t="n">
        <v>389000</v>
      </c>
      <c r="E827" s="33" t="n">
        <v>45</v>
      </c>
      <c r="F827" s="34" t="n">
        <f aca="false">D827*E827</f>
        <v>17505000</v>
      </c>
      <c r="G827" s="33" t="s">
        <v>50</v>
      </c>
      <c r="H827" s="33" t="str">
        <f aca="false">INDEX(Products!$C$2:$C$51,MATCH(C827,Products!$B$2:$B$51,0))</f>
        <v>Sport</v>
      </c>
    </row>
    <row r="828" customFormat="false" ht="15" hidden="false" customHeight="false" outlineLevel="0" collapsed="false">
      <c r="A828" s="32" t="n">
        <v>45884</v>
      </c>
      <c r="B828" s="33" t="s">
        <v>53</v>
      </c>
      <c r="C828" s="33" t="s">
        <v>67</v>
      </c>
      <c r="D828" s="34" t="n">
        <v>250000</v>
      </c>
      <c r="E828" s="33" t="n">
        <v>17</v>
      </c>
      <c r="F828" s="34" t="n">
        <f aca="false">D828*E828</f>
        <v>4250000</v>
      </c>
      <c r="G828" s="33" t="s">
        <v>50</v>
      </c>
      <c r="H828" s="33" t="str">
        <f aca="false">INDEX(Products!$C$2:$C$51,MATCH(C828,Products!$B$2:$B$51,0))</f>
        <v>Classic</v>
      </c>
    </row>
    <row r="829" customFormat="false" ht="15" hidden="false" customHeight="false" outlineLevel="0" collapsed="false">
      <c r="A829" s="32" t="n">
        <v>45884</v>
      </c>
      <c r="B829" s="33" t="s">
        <v>49</v>
      </c>
      <c r="C829" s="33" t="s">
        <v>119</v>
      </c>
      <c r="D829" s="34" t="n">
        <v>128000</v>
      </c>
      <c r="E829" s="33" t="n">
        <v>23</v>
      </c>
      <c r="F829" s="34" t="n">
        <f aca="false">D829*E829</f>
        <v>2944000</v>
      </c>
      <c r="G829" s="33" t="s">
        <v>54</v>
      </c>
      <c r="H829" s="33" t="str">
        <f aca="false">INDEX(Products!$C$2:$C$51,MATCH(C829,Products!$B$2:$B$51,0))</f>
        <v>Scooter</v>
      </c>
    </row>
    <row r="830" customFormat="false" ht="15" hidden="false" customHeight="false" outlineLevel="0" collapsed="false">
      <c r="A830" s="32" t="n">
        <v>45884</v>
      </c>
      <c r="B830" s="33" t="s">
        <v>49</v>
      </c>
      <c r="C830" s="33" t="s">
        <v>68</v>
      </c>
      <c r="D830" s="34" t="n">
        <v>389000</v>
      </c>
      <c r="E830" s="33" t="n">
        <v>8</v>
      </c>
      <c r="F830" s="34" t="n">
        <f aca="false">D830*E830</f>
        <v>3112000</v>
      </c>
      <c r="G830" s="33" t="s">
        <v>57</v>
      </c>
      <c r="H830" s="33" t="str">
        <f aca="false">INDEX(Products!$C$2:$C$51,MATCH(C830,Products!$B$2:$B$51,0))</f>
        <v>Sport</v>
      </c>
    </row>
    <row r="831" customFormat="false" ht="15" hidden="false" customHeight="false" outlineLevel="0" collapsed="false">
      <c r="A831" s="32" t="n">
        <v>45884</v>
      </c>
      <c r="B831" s="33" t="s">
        <v>49</v>
      </c>
      <c r="C831" s="33" t="s">
        <v>128</v>
      </c>
      <c r="D831" s="34" t="n">
        <v>68900</v>
      </c>
      <c r="E831" s="33" t="n">
        <v>4</v>
      </c>
      <c r="F831" s="34" t="n">
        <f aca="false">D831*E831</f>
        <v>275600</v>
      </c>
      <c r="G831" s="33" t="s">
        <v>57</v>
      </c>
      <c r="H831" s="33" t="str">
        <f aca="false">INDEX(Products!$C$2:$C$51,MATCH(C831,Products!$B$2:$B$51,0))</f>
        <v>Standard</v>
      </c>
    </row>
    <row r="832" customFormat="false" ht="15" hidden="false" customHeight="false" outlineLevel="0" collapsed="false">
      <c r="A832" s="32" t="n">
        <v>45884</v>
      </c>
      <c r="B832" s="33" t="s">
        <v>53</v>
      </c>
      <c r="C832" s="33" t="s">
        <v>68</v>
      </c>
      <c r="D832" s="34" t="n">
        <v>389000</v>
      </c>
      <c r="E832" s="33" t="n">
        <v>41</v>
      </c>
      <c r="F832" s="34" t="n">
        <f aca="false">D832*E832</f>
        <v>15949000</v>
      </c>
      <c r="G832" s="33" t="s">
        <v>54</v>
      </c>
      <c r="H832" s="33" t="str">
        <f aca="false">INDEX(Products!$C$2:$C$51,MATCH(C832,Products!$B$2:$B$51,0))</f>
        <v>Sport</v>
      </c>
    </row>
    <row r="833" customFormat="false" ht="15" hidden="false" customHeight="false" outlineLevel="0" collapsed="false">
      <c r="A833" s="32" t="n">
        <v>45884</v>
      </c>
      <c r="B833" s="33" t="s">
        <v>53</v>
      </c>
      <c r="C833" s="33" t="s">
        <v>70</v>
      </c>
      <c r="D833" s="34" t="n">
        <v>320000</v>
      </c>
      <c r="E833" s="33" t="n">
        <v>27</v>
      </c>
      <c r="F833" s="34" t="n">
        <f aca="false">D833*E833</f>
        <v>8640000</v>
      </c>
      <c r="G833" s="33" t="s">
        <v>57</v>
      </c>
      <c r="H833" s="33" t="str">
        <f aca="false">INDEX(Products!$C$2:$C$51,MATCH(C833,Products!$B$2:$B$51,0))</f>
        <v>Adventure</v>
      </c>
    </row>
    <row r="834" customFormat="false" ht="15" hidden="false" customHeight="false" outlineLevel="0" collapsed="false">
      <c r="A834" s="32" t="n">
        <v>45884</v>
      </c>
      <c r="B834" s="33" t="s">
        <v>53</v>
      </c>
      <c r="C834" s="33" t="s">
        <v>51</v>
      </c>
      <c r="D834" s="34" t="n">
        <v>689000</v>
      </c>
      <c r="E834" s="33" t="n">
        <v>28</v>
      </c>
      <c r="F834" s="34" t="n">
        <f aca="false">D834*E834</f>
        <v>19292000</v>
      </c>
      <c r="G834" s="33" t="s">
        <v>57</v>
      </c>
      <c r="H834" s="33" t="str">
        <f aca="false">INDEX(Products!$C$2:$C$51,MATCH(C834,Products!$B$2:$B$51,0))</f>
        <v>Heritage</v>
      </c>
    </row>
    <row r="835" customFormat="false" ht="15" hidden="false" customHeight="false" outlineLevel="0" collapsed="false">
      <c r="A835" s="32" t="n">
        <v>45885</v>
      </c>
      <c r="B835" s="33" t="s">
        <v>53</v>
      </c>
      <c r="C835" s="33" t="s">
        <v>71</v>
      </c>
      <c r="D835" s="34" t="n">
        <v>165000</v>
      </c>
      <c r="E835" s="33" t="n">
        <v>20</v>
      </c>
      <c r="F835" s="34" t="n">
        <f aca="false">D835*E835</f>
        <v>3300000</v>
      </c>
      <c r="G835" s="33" t="s">
        <v>54</v>
      </c>
      <c r="H835" s="33" t="str">
        <f aca="false">INDEX(Products!$C$2:$C$51,MATCH(C835,Products!$B$2:$B$51,0))</f>
        <v>Naked Bike</v>
      </c>
    </row>
    <row r="836" customFormat="false" ht="15" hidden="false" customHeight="false" outlineLevel="0" collapsed="false">
      <c r="A836" s="32" t="n">
        <v>45885</v>
      </c>
      <c r="B836" s="33" t="s">
        <v>56</v>
      </c>
      <c r="C836" s="33" t="s">
        <v>69</v>
      </c>
      <c r="D836" s="34" t="n">
        <v>164900</v>
      </c>
      <c r="E836" s="33" t="n">
        <v>9</v>
      </c>
      <c r="F836" s="34" t="n">
        <f aca="false">D836*E836</f>
        <v>1484100</v>
      </c>
      <c r="G836" s="33" t="s">
        <v>54</v>
      </c>
      <c r="H836" s="33" t="str">
        <f aca="false">INDEX(Products!$C$2:$C$51,MATCH(C836,Products!$B$2:$B$51,0))</f>
        <v>Scooter</v>
      </c>
    </row>
    <row r="837" customFormat="false" ht="15" hidden="false" customHeight="false" outlineLevel="0" collapsed="false">
      <c r="A837" s="32" t="n">
        <v>45885</v>
      </c>
      <c r="B837" s="33" t="s">
        <v>53</v>
      </c>
      <c r="C837" s="33" t="s">
        <v>70</v>
      </c>
      <c r="D837" s="34" t="n">
        <v>320000</v>
      </c>
      <c r="E837" s="33" t="n">
        <v>8</v>
      </c>
      <c r="F837" s="34" t="n">
        <f aca="false">D837*E837</f>
        <v>2560000</v>
      </c>
      <c r="G837" s="33" t="s">
        <v>50</v>
      </c>
      <c r="H837" s="33" t="str">
        <f aca="false">INDEX(Products!$C$2:$C$51,MATCH(C837,Products!$B$2:$B$51,0))</f>
        <v>Adventure</v>
      </c>
    </row>
    <row r="838" customFormat="false" ht="15" hidden="false" customHeight="false" outlineLevel="0" collapsed="false">
      <c r="A838" s="32" t="n">
        <v>45885</v>
      </c>
      <c r="B838" s="33" t="s">
        <v>53</v>
      </c>
      <c r="C838" s="33" t="s">
        <v>59</v>
      </c>
      <c r="D838" s="34" t="n">
        <v>165000</v>
      </c>
      <c r="E838" s="33" t="n">
        <v>16</v>
      </c>
      <c r="F838" s="34" t="n">
        <f aca="false">D838*E838</f>
        <v>2640000</v>
      </c>
      <c r="G838" s="33" t="s">
        <v>50</v>
      </c>
      <c r="H838" s="33" t="str">
        <f aca="false">INDEX(Products!$C$2:$C$51,MATCH(C838,Products!$B$2:$B$51,0))</f>
        <v>Sport</v>
      </c>
    </row>
    <row r="839" customFormat="false" ht="15" hidden="false" customHeight="false" outlineLevel="0" collapsed="false">
      <c r="A839" s="32" t="n">
        <v>45885</v>
      </c>
      <c r="B839" s="33" t="s">
        <v>49</v>
      </c>
      <c r="C839" s="33" t="s">
        <v>113</v>
      </c>
      <c r="D839" s="34" t="n">
        <v>182000</v>
      </c>
      <c r="E839" s="33" t="n">
        <v>14</v>
      </c>
      <c r="F839" s="34" t="n">
        <f aca="false">D839*E839</f>
        <v>2548000</v>
      </c>
      <c r="G839" s="33" t="s">
        <v>57</v>
      </c>
      <c r="H839" s="33" t="str">
        <f aca="false">INDEX(Products!$C$2:$C$51,MATCH(C839,Products!$B$2:$B$51,0))</f>
        <v>Retro</v>
      </c>
    </row>
    <row r="840" customFormat="false" ht="15" hidden="false" customHeight="false" outlineLevel="0" collapsed="false">
      <c r="A840" s="32" t="n">
        <v>45885</v>
      </c>
      <c r="B840" s="33" t="s">
        <v>53</v>
      </c>
      <c r="C840" s="33" t="s">
        <v>61</v>
      </c>
      <c r="D840" s="34" t="n">
        <v>299000</v>
      </c>
      <c r="E840" s="33" t="n">
        <v>14</v>
      </c>
      <c r="F840" s="34" t="n">
        <f aca="false">D840*E840</f>
        <v>4186000</v>
      </c>
      <c r="G840" s="33" t="s">
        <v>54</v>
      </c>
      <c r="H840" s="33" t="str">
        <f aca="false">INDEX(Products!$C$2:$C$51,MATCH(C840,Products!$B$2:$B$51,0))</f>
        <v>Dual-Sport</v>
      </c>
    </row>
    <row r="841" customFormat="false" ht="15" hidden="false" customHeight="false" outlineLevel="0" collapsed="false">
      <c r="A841" s="32" t="n">
        <v>45885</v>
      </c>
      <c r="B841" s="33" t="s">
        <v>49</v>
      </c>
      <c r="C841" s="33" t="s">
        <v>61</v>
      </c>
      <c r="D841" s="34" t="n">
        <v>299000</v>
      </c>
      <c r="E841" s="33" t="n">
        <v>29</v>
      </c>
      <c r="F841" s="34" t="n">
        <f aca="false">D841*E841</f>
        <v>8671000</v>
      </c>
      <c r="G841" s="33" t="s">
        <v>57</v>
      </c>
      <c r="H841" s="33" t="str">
        <f aca="false">INDEX(Products!$C$2:$C$51,MATCH(C841,Products!$B$2:$B$51,0))</f>
        <v>Dual-Sport</v>
      </c>
    </row>
    <row r="842" customFormat="false" ht="15" hidden="false" customHeight="false" outlineLevel="0" collapsed="false">
      <c r="A842" s="32" t="n">
        <v>45886</v>
      </c>
      <c r="B842" s="33" t="s">
        <v>53</v>
      </c>
      <c r="C842" s="33" t="s">
        <v>110</v>
      </c>
      <c r="D842" s="34" t="n">
        <v>178000</v>
      </c>
      <c r="E842" s="33" t="n">
        <v>11</v>
      </c>
      <c r="F842" s="34" t="n">
        <f aca="false">D842*E842</f>
        <v>1958000</v>
      </c>
      <c r="G842" s="33" t="s">
        <v>54</v>
      </c>
      <c r="H842" s="33" t="str">
        <f aca="false">INDEX(Products!$C$2:$C$51,MATCH(C842,Products!$B$2:$B$51,0))</f>
        <v>Naked Bike</v>
      </c>
    </row>
    <row r="843" customFormat="false" ht="15" hidden="false" customHeight="false" outlineLevel="0" collapsed="false">
      <c r="A843" s="32" t="n">
        <v>45886</v>
      </c>
      <c r="B843" s="33" t="s">
        <v>49</v>
      </c>
      <c r="C843" s="33" t="s">
        <v>115</v>
      </c>
      <c r="D843" s="34" t="n">
        <v>289000</v>
      </c>
      <c r="E843" s="33" t="n">
        <v>37</v>
      </c>
      <c r="F843" s="34" t="n">
        <f aca="false">D843*E843</f>
        <v>10693000</v>
      </c>
      <c r="G843" s="33" t="s">
        <v>57</v>
      </c>
      <c r="H843" s="33" t="str">
        <f aca="false">INDEX(Products!$C$2:$C$51,MATCH(C843,Products!$B$2:$B$51,0))</f>
        <v>Scooter</v>
      </c>
    </row>
    <row r="844" customFormat="false" ht="15" hidden="false" customHeight="false" outlineLevel="0" collapsed="false">
      <c r="A844" s="32" t="n">
        <v>45886</v>
      </c>
      <c r="B844" s="33" t="s">
        <v>49</v>
      </c>
      <c r="C844" s="33" t="s">
        <v>66</v>
      </c>
      <c r="D844" s="34" t="n">
        <v>398000</v>
      </c>
      <c r="E844" s="33" t="n">
        <v>17</v>
      </c>
      <c r="F844" s="34" t="n">
        <f aca="false">D844*E844</f>
        <v>6766000</v>
      </c>
      <c r="G844" s="33" t="s">
        <v>50</v>
      </c>
      <c r="H844" s="33" t="str">
        <f aca="false">INDEX(Products!$C$2:$C$51,MATCH(C844,Products!$B$2:$B$51,0))</f>
        <v>Scooter</v>
      </c>
    </row>
    <row r="845" customFormat="false" ht="15" hidden="false" customHeight="false" outlineLevel="0" collapsed="false">
      <c r="A845" s="32" t="n">
        <v>45886</v>
      </c>
      <c r="B845" s="33" t="s">
        <v>53</v>
      </c>
      <c r="C845" s="33" t="s">
        <v>69</v>
      </c>
      <c r="D845" s="34" t="n">
        <v>164900</v>
      </c>
      <c r="E845" s="33" t="n">
        <v>8</v>
      </c>
      <c r="F845" s="34" t="n">
        <f aca="false">D845*E845</f>
        <v>1319200</v>
      </c>
      <c r="G845" s="33" t="s">
        <v>50</v>
      </c>
      <c r="H845" s="33" t="str">
        <f aca="false">INDEX(Products!$C$2:$C$51,MATCH(C845,Products!$B$2:$B$51,0))</f>
        <v>Scooter</v>
      </c>
    </row>
    <row r="846" customFormat="false" ht="15" hidden="false" customHeight="false" outlineLevel="0" collapsed="false">
      <c r="A846" s="32" t="n">
        <v>45886</v>
      </c>
      <c r="B846" s="33" t="s">
        <v>53</v>
      </c>
      <c r="C846" s="33" t="s">
        <v>118</v>
      </c>
      <c r="D846" s="34" t="n">
        <v>151900</v>
      </c>
      <c r="E846" s="33" t="n">
        <v>21</v>
      </c>
      <c r="F846" s="34" t="n">
        <f aca="false">D846*E846</f>
        <v>3189900</v>
      </c>
      <c r="G846" s="33" t="s">
        <v>54</v>
      </c>
      <c r="H846" s="33" t="str">
        <f aca="false">INDEX(Products!$C$2:$C$51,MATCH(C846,Products!$B$2:$B$51,0))</f>
        <v>Scooter</v>
      </c>
    </row>
    <row r="847" customFormat="false" ht="15" hidden="false" customHeight="false" outlineLevel="0" collapsed="false">
      <c r="A847" s="32" t="n">
        <v>45886</v>
      </c>
      <c r="B847" s="33" t="s">
        <v>53</v>
      </c>
      <c r="C847" s="33" t="s">
        <v>129</v>
      </c>
      <c r="D847" s="34" t="n">
        <v>125900</v>
      </c>
      <c r="E847" s="33" t="n">
        <v>14</v>
      </c>
      <c r="F847" s="34" t="n">
        <f aca="false">D847*E847</f>
        <v>1762600</v>
      </c>
      <c r="G847" s="33" t="s">
        <v>57</v>
      </c>
      <c r="H847" s="33" t="str">
        <f aca="false">INDEX(Products!$C$2:$C$51,MATCH(C847,Products!$B$2:$B$51,0))</f>
        <v>Underbone</v>
      </c>
    </row>
    <row r="848" customFormat="false" ht="15" hidden="false" customHeight="false" outlineLevel="0" collapsed="false">
      <c r="A848" s="32" t="n">
        <v>45886</v>
      </c>
      <c r="B848" s="33" t="s">
        <v>53</v>
      </c>
      <c r="C848" s="33" t="s">
        <v>117</v>
      </c>
      <c r="D848" s="34" t="n">
        <v>210000</v>
      </c>
      <c r="E848" s="33" t="n">
        <v>16</v>
      </c>
      <c r="F848" s="34" t="n">
        <f aca="false">D848*E848</f>
        <v>3360000</v>
      </c>
      <c r="G848" s="33" t="s">
        <v>50</v>
      </c>
      <c r="H848" s="33" t="str">
        <f aca="false">INDEX(Products!$C$2:$C$51,MATCH(C848,Products!$B$2:$B$51,0))</f>
        <v>Scooter</v>
      </c>
    </row>
    <row r="849" customFormat="false" ht="15" hidden="false" customHeight="false" outlineLevel="0" collapsed="false">
      <c r="A849" s="32" t="n">
        <v>45887</v>
      </c>
      <c r="B849" s="33" t="s">
        <v>53</v>
      </c>
      <c r="C849" s="33" t="s">
        <v>63</v>
      </c>
      <c r="D849" s="34" t="n">
        <v>99900</v>
      </c>
      <c r="E849" s="33" t="n">
        <v>4</v>
      </c>
      <c r="F849" s="34" t="n">
        <f aca="false">D849*E849</f>
        <v>399600</v>
      </c>
      <c r="G849" s="33" t="s">
        <v>54</v>
      </c>
      <c r="H849" s="33" t="str">
        <f aca="false">INDEX(Products!$C$2:$C$51,MATCH(C849,Products!$B$2:$B$51,0))</f>
        <v>Street</v>
      </c>
    </row>
    <row r="850" customFormat="false" ht="15" hidden="false" customHeight="false" outlineLevel="0" collapsed="false">
      <c r="A850" s="32" t="n">
        <v>45887</v>
      </c>
      <c r="B850" s="33" t="s">
        <v>49</v>
      </c>
      <c r="C850" s="33" t="s">
        <v>115</v>
      </c>
      <c r="D850" s="34" t="n">
        <v>289000</v>
      </c>
      <c r="E850" s="33" t="n">
        <v>42</v>
      </c>
      <c r="F850" s="34" t="n">
        <f aca="false">D850*E850</f>
        <v>12138000</v>
      </c>
      <c r="G850" s="33" t="s">
        <v>50</v>
      </c>
      <c r="H850" s="33" t="str">
        <f aca="false">INDEX(Products!$C$2:$C$51,MATCH(C850,Products!$B$2:$B$51,0))</f>
        <v>Scooter</v>
      </c>
    </row>
    <row r="851" customFormat="false" ht="15" hidden="false" customHeight="false" outlineLevel="0" collapsed="false">
      <c r="A851" s="32" t="n">
        <v>45887</v>
      </c>
      <c r="B851" s="33" t="s">
        <v>53</v>
      </c>
      <c r="C851" s="33" t="s">
        <v>104</v>
      </c>
      <c r="D851" s="34" t="n">
        <v>499000</v>
      </c>
      <c r="E851" s="33" t="n">
        <v>47</v>
      </c>
      <c r="F851" s="34" t="n">
        <f aca="false">D851*E851</f>
        <v>23453000</v>
      </c>
      <c r="G851" s="33" t="s">
        <v>57</v>
      </c>
      <c r="H851" s="33" t="str">
        <f aca="false">INDEX(Products!$C$2:$C$51,MATCH(C851,Products!$B$2:$B$51,0))</f>
        <v>Cruiser</v>
      </c>
    </row>
    <row r="852" customFormat="false" ht="15" hidden="false" customHeight="false" outlineLevel="0" collapsed="false">
      <c r="A852" s="32" t="n">
        <v>45887</v>
      </c>
      <c r="B852" s="33" t="s">
        <v>49</v>
      </c>
      <c r="C852" s="33" t="s">
        <v>63</v>
      </c>
      <c r="D852" s="34" t="n">
        <v>99900</v>
      </c>
      <c r="E852" s="33" t="n">
        <v>16</v>
      </c>
      <c r="F852" s="34" t="n">
        <f aca="false">D852*E852</f>
        <v>1598400</v>
      </c>
      <c r="G852" s="33" t="s">
        <v>50</v>
      </c>
      <c r="H852" s="33" t="str">
        <f aca="false">INDEX(Products!$C$2:$C$51,MATCH(C852,Products!$B$2:$B$51,0))</f>
        <v>Street</v>
      </c>
    </row>
    <row r="853" customFormat="false" ht="15" hidden="false" customHeight="false" outlineLevel="0" collapsed="false">
      <c r="A853" s="32" t="n">
        <v>45887</v>
      </c>
      <c r="B853" s="33" t="s">
        <v>49</v>
      </c>
      <c r="C853" s="33" t="s">
        <v>61</v>
      </c>
      <c r="D853" s="34" t="n">
        <v>299000</v>
      </c>
      <c r="E853" s="33" t="n">
        <v>10</v>
      </c>
      <c r="F853" s="34" t="n">
        <f aca="false">D853*E853</f>
        <v>2990000</v>
      </c>
      <c r="G853" s="33" t="s">
        <v>54</v>
      </c>
      <c r="H853" s="33" t="str">
        <f aca="false">INDEX(Products!$C$2:$C$51,MATCH(C853,Products!$B$2:$B$51,0))</f>
        <v>Dual-Sport</v>
      </c>
    </row>
    <row r="854" customFormat="false" ht="15" hidden="false" customHeight="false" outlineLevel="0" collapsed="false">
      <c r="A854" s="32" t="n">
        <v>45887</v>
      </c>
      <c r="B854" s="33" t="s">
        <v>53</v>
      </c>
      <c r="C854" s="33" t="s">
        <v>67</v>
      </c>
      <c r="D854" s="34" t="n">
        <v>250000</v>
      </c>
      <c r="E854" s="33" t="n">
        <v>48</v>
      </c>
      <c r="F854" s="34" t="n">
        <f aca="false">D854*E854</f>
        <v>12000000</v>
      </c>
      <c r="G854" s="33" t="s">
        <v>50</v>
      </c>
      <c r="H854" s="33" t="str">
        <f aca="false">INDEX(Products!$C$2:$C$51,MATCH(C854,Products!$B$2:$B$51,0))</f>
        <v>Classic</v>
      </c>
    </row>
    <row r="855" customFormat="false" ht="15" hidden="false" customHeight="false" outlineLevel="0" collapsed="false">
      <c r="A855" s="32" t="n">
        <v>45887</v>
      </c>
      <c r="B855" s="33" t="s">
        <v>49</v>
      </c>
      <c r="C855" s="33" t="s">
        <v>126</v>
      </c>
      <c r="D855" s="34" t="n">
        <v>198000</v>
      </c>
      <c r="E855" s="33" t="n">
        <v>17</v>
      </c>
      <c r="F855" s="34" t="n">
        <f aca="false">D855*E855</f>
        <v>3366000</v>
      </c>
      <c r="G855" s="33" t="s">
        <v>54</v>
      </c>
      <c r="H855" s="33" t="str">
        <f aca="false">INDEX(Products!$C$2:$C$51,MATCH(C855,Products!$B$2:$B$51,0))</f>
        <v>Sport</v>
      </c>
    </row>
    <row r="856" customFormat="false" ht="15" hidden="false" customHeight="false" outlineLevel="0" collapsed="false">
      <c r="A856" s="32" t="n">
        <v>45887</v>
      </c>
      <c r="B856" s="33" t="s">
        <v>53</v>
      </c>
      <c r="C856" s="33" t="s">
        <v>123</v>
      </c>
      <c r="D856" s="34" t="n">
        <v>79900</v>
      </c>
      <c r="E856" s="33" t="n">
        <v>11</v>
      </c>
      <c r="F856" s="34" t="n">
        <f aca="false">D856*E856</f>
        <v>878900</v>
      </c>
      <c r="G856" s="33" t="s">
        <v>50</v>
      </c>
      <c r="H856" s="33" t="str">
        <f aca="false">INDEX(Products!$C$2:$C$51,MATCH(C856,Products!$B$2:$B$51,0))</f>
        <v>Scooter</v>
      </c>
    </row>
    <row r="857" customFormat="false" ht="15" hidden="false" customHeight="false" outlineLevel="0" collapsed="false">
      <c r="A857" s="32" t="n">
        <v>45888</v>
      </c>
      <c r="B857" s="33" t="s">
        <v>49</v>
      </c>
      <c r="C857" s="33" t="s">
        <v>121</v>
      </c>
      <c r="D857" s="34" t="n">
        <v>80900</v>
      </c>
      <c r="E857" s="33" t="n">
        <v>37</v>
      </c>
      <c r="F857" s="34" t="n">
        <f aca="false">D857*E857</f>
        <v>2993300</v>
      </c>
      <c r="G857" s="33" t="s">
        <v>50</v>
      </c>
      <c r="H857" s="33" t="str">
        <f aca="false">INDEX(Products!$C$2:$C$51,MATCH(C857,Products!$B$2:$B$51,0))</f>
        <v>Scooter</v>
      </c>
    </row>
    <row r="858" customFormat="false" ht="15" hidden="false" customHeight="false" outlineLevel="0" collapsed="false">
      <c r="A858" s="32" t="n">
        <v>45888</v>
      </c>
      <c r="B858" s="33" t="s">
        <v>53</v>
      </c>
      <c r="C858" s="33" t="s">
        <v>66</v>
      </c>
      <c r="D858" s="34" t="n">
        <v>398000</v>
      </c>
      <c r="E858" s="33" t="n">
        <v>20</v>
      </c>
      <c r="F858" s="34" t="n">
        <f aca="false">D858*E858</f>
        <v>7960000</v>
      </c>
      <c r="G858" s="33" t="s">
        <v>50</v>
      </c>
      <c r="H858" s="33" t="str">
        <f aca="false">INDEX(Products!$C$2:$C$51,MATCH(C858,Products!$B$2:$B$51,0))</f>
        <v>Scooter</v>
      </c>
    </row>
    <row r="859" customFormat="false" ht="15" hidden="false" customHeight="false" outlineLevel="0" collapsed="false">
      <c r="A859" s="32" t="n">
        <v>45888</v>
      </c>
      <c r="B859" s="33" t="s">
        <v>53</v>
      </c>
      <c r="C859" s="33" t="s">
        <v>67</v>
      </c>
      <c r="D859" s="34" t="n">
        <v>250000</v>
      </c>
      <c r="E859" s="33" t="n">
        <v>2</v>
      </c>
      <c r="F859" s="34" t="n">
        <f aca="false">D859*E859</f>
        <v>500000</v>
      </c>
      <c r="G859" s="33" t="s">
        <v>54</v>
      </c>
      <c r="H859" s="33" t="str">
        <f aca="false">INDEX(Products!$C$2:$C$51,MATCH(C859,Products!$B$2:$B$51,0))</f>
        <v>Classic</v>
      </c>
    </row>
    <row r="860" customFormat="false" ht="15" hidden="false" customHeight="false" outlineLevel="0" collapsed="false">
      <c r="A860" s="32" t="n">
        <v>45888</v>
      </c>
      <c r="B860" s="33" t="s">
        <v>49</v>
      </c>
      <c r="C860" s="33" t="s">
        <v>104</v>
      </c>
      <c r="D860" s="34" t="n">
        <v>499000</v>
      </c>
      <c r="E860" s="33" t="n">
        <v>4</v>
      </c>
      <c r="F860" s="34" t="n">
        <f aca="false">D860*E860</f>
        <v>1996000</v>
      </c>
      <c r="G860" s="33" t="s">
        <v>50</v>
      </c>
      <c r="H860" s="33" t="str">
        <f aca="false">INDEX(Products!$C$2:$C$51,MATCH(C860,Products!$B$2:$B$51,0))</f>
        <v>Cruiser</v>
      </c>
    </row>
    <row r="861" customFormat="false" ht="15" hidden="false" customHeight="false" outlineLevel="0" collapsed="false">
      <c r="A861" s="32" t="n">
        <v>45888</v>
      </c>
      <c r="B861" s="33" t="s">
        <v>56</v>
      </c>
      <c r="C861" s="33" t="s">
        <v>51</v>
      </c>
      <c r="D861" s="34" t="n">
        <v>689000</v>
      </c>
      <c r="E861" s="33" t="n">
        <v>14</v>
      </c>
      <c r="F861" s="34" t="n">
        <f aca="false">D861*E861</f>
        <v>9646000</v>
      </c>
      <c r="G861" s="33" t="s">
        <v>50</v>
      </c>
      <c r="H861" s="33" t="str">
        <f aca="false">INDEX(Products!$C$2:$C$51,MATCH(C861,Products!$B$2:$B$51,0))</f>
        <v>Heritage</v>
      </c>
    </row>
    <row r="862" customFormat="false" ht="15" hidden="false" customHeight="false" outlineLevel="0" collapsed="false">
      <c r="A862" s="32" t="n">
        <v>45888</v>
      </c>
      <c r="B862" s="33" t="s">
        <v>49</v>
      </c>
      <c r="C862" s="33" t="s">
        <v>106</v>
      </c>
      <c r="D862" s="34" t="n">
        <v>284900</v>
      </c>
      <c r="E862" s="33" t="n">
        <v>17</v>
      </c>
      <c r="F862" s="34" t="n">
        <f aca="false">D862*E862</f>
        <v>4843300</v>
      </c>
      <c r="G862" s="33" t="s">
        <v>50</v>
      </c>
      <c r="H862" s="33" t="str">
        <f aca="false">INDEX(Products!$C$2:$C$51,MATCH(C862,Products!$B$2:$B$51,0))</f>
        <v>Dual-Sport</v>
      </c>
    </row>
    <row r="863" customFormat="false" ht="15" hidden="false" customHeight="false" outlineLevel="0" collapsed="false">
      <c r="A863" s="32" t="n">
        <v>45888</v>
      </c>
      <c r="B863" s="33" t="s">
        <v>53</v>
      </c>
      <c r="C863" s="33" t="s">
        <v>64</v>
      </c>
      <c r="D863" s="34" t="n">
        <v>248000</v>
      </c>
      <c r="E863" s="33" t="n">
        <v>11</v>
      </c>
      <c r="F863" s="34" t="n">
        <f aca="false">D863*E863</f>
        <v>2728000</v>
      </c>
      <c r="G863" s="33" t="s">
        <v>57</v>
      </c>
      <c r="H863" s="33" t="str">
        <f aca="false">INDEX(Products!$C$2:$C$51,MATCH(C863,Products!$B$2:$B$51,0))</f>
        <v>Adventure</v>
      </c>
    </row>
    <row r="864" customFormat="false" ht="15" hidden="false" customHeight="false" outlineLevel="0" collapsed="false">
      <c r="A864" s="32" t="n">
        <v>45888</v>
      </c>
      <c r="B864" s="33" t="s">
        <v>53</v>
      </c>
      <c r="C864" s="33" t="s">
        <v>52</v>
      </c>
      <c r="D864" s="34" t="n">
        <v>398000</v>
      </c>
      <c r="E864" s="33" t="n">
        <v>8</v>
      </c>
      <c r="F864" s="34" t="n">
        <f aca="false">D864*E864</f>
        <v>3184000</v>
      </c>
      <c r="G864" s="33" t="s">
        <v>54</v>
      </c>
      <c r="H864" s="33" t="str">
        <f aca="false">INDEX(Products!$C$2:$C$51,MATCH(C864,Products!$B$2:$B$51,0))</f>
        <v>Cruiser</v>
      </c>
    </row>
    <row r="865" customFormat="false" ht="15" hidden="false" customHeight="false" outlineLevel="0" collapsed="false">
      <c r="A865" s="32" t="n">
        <v>45889</v>
      </c>
      <c r="B865" s="33" t="s">
        <v>53</v>
      </c>
      <c r="C865" s="33" t="s">
        <v>61</v>
      </c>
      <c r="D865" s="34" t="n">
        <v>299000</v>
      </c>
      <c r="E865" s="33" t="n">
        <v>19</v>
      </c>
      <c r="F865" s="34" t="n">
        <f aca="false">D865*E865</f>
        <v>5681000</v>
      </c>
      <c r="G865" s="33" t="s">
        <v>57</v>
      </c>
      <c r="H865" s="33" t="str">
        <f aca="false">INDEX(Products!$C$2:$C$51,MATCH(C865,Products!$B$2:$B$51,0))</f>
        <v>Dual-Sport</v>
      </c>
    </row>
    <row r="866" customFormat="false" ht="15" hidden="false" customHeight="false" outlineLevel="0" collapsed="false">
      <c r="A866" s="32" t="n">
        <v>45889</v>
      </c>
      <c r="B866" s="33" t="s">
        <v>49</v>
      </c>
      <c r="C866" s="33" t="s">
        <v>107</v>
      </c>
      <c r="D866" s="34" t="n">
        <v>199000</v>
      </c>
      <c r="E866" s="33" t="n">
        <v>5</v>
      </c>
      <c r="F866" s="34" t="n">
        <f aca="false">D866*E866</f>
        <v>995000</v>
      </c>
      <c r="G866" s="33" t="s">
        <v>54</v>
      </c>
      <c r="H866" s="33" t="str">
        <f aca="false">INDEX(Products!$C$2:$C$51,MATCH(C866,Products!$B$2:$B$51,0))</f>
        <v>Dual-Sport</v>
      </c>
    </row>
    <row r="867" customFormat="false" ht="15" hidden="false" customHeight="false" outlineLevel="0" collapsed="false">
      <c r="A867" s="32" t="n">
        <v>45889</v>
      </c>
      <c r="B867" s="33" t="s">
        <v>49</v>
      </c>
      <c r="C867" s="33" t="s">
        <v>127</v>
      </c>
      <c r="D867" s="34" t="n">
        <v>199900</v>
      </c>
      <c r="E867" s="33" t="n">
        <v>20</v>
      </c>
      <c r="F867" s="34" t="n">
        <f aca="false">D867*E867</f>
        <v>3998000</v>
      </c>
      <c r="G867" s="33" t="s">
        <v>50</v>
      </c>
      <c r="H867" s="33" t="str">
        <f aca="false">INDEX(Products!$C$2:$C$51,MATCH(C867,Products!$B$2:$B$51,0))</f>
        <v>Sport Touring</v>
      </c>
    </row>
    <row r="868" customFormat="false" ht="15" hidden="false" customHeight="false" outlineLevel="0" collapsed="false">
      <c r="A868" s="32" t="n">
        <v>45889</v>
      </c>
      <c r="B868" s="33" t="s">
        <v>49</v>
      </c>
      <c r="C868" s="33" t="s">
        <v>130</v>
      </c>
      <c r="D868" s="34" t="n">
        <v>119900</v>
      </c>
      <c r="E868" s="33" t="n">
        <v>13</v>
      </c>
      <c r="F868" s="34" t="n">
        <f aca="false">D868*E868</f>
        <v>1558700</v>
      </c>
      <c r="G868" s="33" t="s">
        <v>57</v>
      </c>
      <c r="H868" s="33" t="str">
        <f aca="false">INDEX(Products!$C$2:$C$51,MATCH(C868,Products!$B$2:$B$51,0))</f>
        <v>Underbone</v>
      </c>
    </row>
    <row r="869" customFormat="false" ht="15" hidden="false" customHeight="false" outlineLevel="0" collapsed="false">
      <c r="A869" s="32" t="n">
        <v>45889</v>
      </c>
      <c r="B869" s="33" t="s">
        <v>49</v>
      </c>
      <c r="C869" s="33" t="s">
        <v>114</v>
      </c>
      <c r="D869" s="34" t="n">
        <v>319000</v>
      </c>
      <c r="E869" s="33" t="n">
        <v>4</v>
      </c>
      <c r="F869" s="34" t="n">
        <f aca="false">D869*E869</f>
        <v>1276000</v>
      </c>
      <c r="G869" s="33" t="s">
        <v>54</v>
      </c>
      <c r="H869" s="33" t="str">
        <f aca="false">INDEX(Products!$C$2:$C$51,MATCH(C869,Products!$B$2:$B$51,0))</f>
        <v>Scooter</v>
      </c>
    </row>
    <row r="870" customFormat="false" ht="15" hidden="false" customHeight="false" outlineLevel="0" collapsed="false">
      <c r="A870" s="32" t="n">
        <v>45889</v>
      </c>
      <c r="B870" s="33" t="s">
        <v>49</v>
      </c>
      <c r="C870" s="33" t="s">
        <v>107</v>
      </c>
      <c r="D870" s="34" t="n">
        <v>199000</v>
      </c>
      <c r="E870" s="33" t="n">
        <v>17</v>
      </c>
      <c r="F870" s="34" t="n">
        <f aca="false">D870*E870</f>
        <v>3383000</v>
      </c>
      <c r="G870" s="33" t="s">
        <v>54</v>
      </c>
      <c r="H870" s="33" t="str">
        <f aca="false">INDEX(Products!$C$2:$C$51,MATCH(C870,Products!$B$2:$B$51,0))</f>
        <v>Dual-Sport</v>
      </c>
    </row>
    <row r="871" customFormat="false" ht="15" hidden="false" customHeight="false" outlineLevel="0" collapsed="false">
      <c r="A871" s="32" t="n">
        <v>45890</v>
      </c>
      <c r="B871" s="33" t="s">
        <v>53</v>
      </c>
      <c r="C871" s="33" t="s">
        <v>110</v>
      </c>
      <c r="D871" s="34" t="n">
        <v>178000</v>
      </c>
      <c r="E871" s="33" t="n">
        <v>18</v>
      </c>
      <c r="F871" s="34" t="n">
        <f aca="false">D871*E871</f>
        <v>3204000</v>
      </c>
      <c r="G871" s="33" t="s">
        <v>57</v>
      </c>
      <c r="H871" s="33" t="str">
        <f aca="false">INDEX(Products!$C$2:$C$51,MATCH(C871,Products!$B$2:$B$51,0))</f>
        <v>Naked Bike</v>
      </c>
    </row>
    <row r="872" customFormat="false" ht="15" hidden="false" customHeight="false" outlineLevel="0" collapsed="false">
      <c r="A872" s="32" t="n">
        <v>45890</v>
      </c>
      <c r="B872" s="33" t="s">
        <v>53</v>
      </c>
      <c r="C872" s="33" t="s">
        <v>103</v>
      </c>
      <c r="D872" s="34" t="n">
        <v>48000</v>
      </c>
      <c r="E872" s="33" t="n">
        <v>13</v>
      </c>
      <c r="F872" s="34" t="n">
        <f aca="false">D872*E872</f>
        <v>624000</v>
      </c>
      <c r="G872" s="33" t="s">
        <v>50</v>
      </c>
      <c r="H872" s="33" t="str">
        <f aca="false">INDEX(Products!$C$2:$C$51,MATCH(C872,Products!$B$2:$B$51,0))</f>
        <v>Commuter</v>
      </c>
    </row>
    <row r="873" customFormat="false" ht="15" hidden="false" customHeight="false" outlineLevel="0" collapsed="false">
      <c r="A873" s="32" t="n">
        <v>45890</v>
      </c>
      <c r="B873" s="33" t="s">
        <v>53</v>
      </c>
      <c r="C873" s="33" t="s">
        <v>58</v>
      </c>
      <c r="D873" s="34" t="n">
        <v>995000</v>
      </c>
      <c r="E873" s="33" t="n">
        <v>5</v>
      </c>
      <c r="F873" s="34" t="n">
        <f aca="false">D873*E873</f>
        <v>4975000</v>
      </c>
      <c r="G873" s="33" t="s">
        <v>57</v>
      </c>
      <c r="H873" s="33" t="str">
        <f aca="false">INDEX(Products!$C$2:$C$51,MATCH(C873,Products!$B$2:$B$51,0))</f>
        <v>Heritage</v>
      </c>
    </row>
    <row r="874" customFormat="false" ht="15" hidden="false" customHeight="false" outlineLevel="0" collapsed="false">
      <c r="A874" s="32" t="n">
        <v>45890</v>
      </c>
      <c r="B874" s="33" t="s">
        <v>53</v>
      </c>
      <c r="C874" s="33" t="s">
        <v>125</v>
      </c>
      <c r="D874" s="34" t="n">
        <v>340000</v>
      </c>
      <c r="E874" s="33" t="n">
        <v>12</v>
      </c>
      <c r="F874" s="34" t="n">
        <f aca="false">D874*E874</f>
        <v>4080000</v>
      </c>
      <c r="G874" s="33" t="s">
        <v>50</v>
      </c>
      <c r="H874" s="33" t="str">
        <f aca="false">INDEX(Products!$C$2:$C$51,MATCH(C874,Products!$B$2:$B$51,0))</f>
        <v>Sport</v>
      </c>
    </row>
    <row r="875" customFormat="false" ht="15" hidden="false" customHeight="false" outlineLevel="0" collapsed="false">
      <c r="A875" s="32" t="n">
        <v>45890</v>
      </c>
      <c r="B875" s="33" t="s">
        <v>49</v>
      </c>
      <c r="C875" s="33" t="s">
        <v>60</v>
      </c>
      <c r="D875" s="34" t="n">
        <v>599000</v>
      </c>
      <c r="E875" s="33" t="n">
        <v>42</v>
      </c>
      <c r="F875" s="34" t="n">
        <f aca="false">D875*E875</f>
        <v>25158000</v>
      </c>
      <c r="G875" s="33" t="s">
        <v>50</v>
      </c>
      <c r="H875" s="33" t="str">
        <f aca="false">INDEX(Products!$C$2:$C$51,MATCH(C875,Products!$B$2:$B$51,0))</f>
        <v>Naked Bike</v>
      </c>
    </row>
    <row r="876" customFormat="false" ht="15" hidden="false" customHeight="false" outlineLevel="0" collapsed="false">
      <c r="A876" s="32" t="n">
        <v>45890</v>
      </c>
      <c r="B876" s="33" t="s">
        <v>53</v>
      </c>
      <c r="C876" s="33" t="s">
        <v>127</v>
      </c>
      <c r="D876" s="34" t="n">
        <v>199900</v>
      </c>
      <c r="E876" s="33" t="n">
        <v>5</v>
      </c>
      <c r="F876" s="34" t="n">
        <f aca="false">D876*E876</f>
        <v>999500</v>
      </c>
      <c r="G876" s="33" t="s">
        <v>54</v>
      </c>
      <c r="H876" s="33" t="str">
        <f aca="false">INDEX(Products!$C$2:$C$51,MATCH(C876,Products!$B$2:$B$51,0))</f>
        <v>Sport Touring</v>
      </c>
    </row>
    <row r="877" customFormat="false" ht="15" hidden="false" customHeight="false" outlineLevel="0" collapsed="false">
      <c r="A877" s="32" t="n">
        <v>45890</v>
      </c>
      <c r="B877" s="33" t="s">
        <v>49</v>
      </c>
      <c r="C877" s="33" t="s">
        <v>126</v>
      </c>
      <c r="D877" s="34" t="n">
        <v>198000</v>
      </c>
      <c r="E877" s="33" t="n">
        <v>7</v>
      </c>
      <c r="F877" s="34" t="n">
        <f aca="false">D877*E877</f>
        <v>1386000</v>
      </c>
      <c r="G877" s="33" t="s">
        <v>57</v>
      </c>
      <c r="H877" s="33" t="str">
        <f aca="false">INDEX(Products!$C$2:$C$51,MATCH(C877,Products!$B$2:$B$51,0))</f>
        <v>Sport</v>
      </c>
    </row>
    <row r="878" customFormat="false" ht="15" hidden="false" customHeight="false" outlineLevel="0" collapsed="false">
      <c r="A878" s="32" t="n">
        <v>45891</v>
      </c>
      <c r="B878" s="33" t="s">
        <v>49</v>
      </c>
      <c r="C878" s="33" t="s">
        <v>68</v>
      </c>
      <c r="D878" s="34" t="n">
        <v>389000</v>
      </c>
      <c r="E878" s="33" t="n">
        <v>16</v>
      </c>
      <c r="F878" s="34" t="n">
        <f aca="false">D878*E878</f>
        <v>6224000</v>
      </c>
      <c r="G878" s="33" t="s">
        <v>54</v>
      </c>
      <c r="H878" s="33" t="str">
        <f aca="false">INDEX(Products!$C$2:$C$51,MATCH(C878,Products!$B$2:$B$51,0))</f>
        <v>Sport</v>
      </c>
    </row>
    <row r="879" customFormat="false" ht="15" hidden="false" customHeight="false" outlineLevel="0" collapsed="false">
      <c r="A879" s="32" t="n">
        <v>45891</v>
      </c>
      <c r="B879" s="33" t="s">
        <v>49</v>
      </c>
      <c r="C879" s="33" t="s">
        <v>64</v>
      </c>
      <c r="D879" s="34" t="n">
        <v>248000</v>
      </c>
      <c r="E879" s="33" t="n">
        <v>3</v>
      </c>
      <c r="F879" s="34" t="n">
        <f aca="false">D879*E879</f>
        <v>744000</v>
      </c>
      <c r="G879" s="33" t="s">
        <v>57</v>
      </c>
      <c r="H879" s="33" t="str">
        <f aca="false">INDEX(Products!$C$2:$C$51,MATCH(C879,Products!$B$2:$B$51,0))</f>
        <v>Adventure</v>
      </c>
    </row>
    <row r="880" customFormat="false" ht="15" hidden="false" customHeight="false" outlineLevel="0" collapsed="false">
      <c r="A880" s="32" t="n">
        <v>45891</v>
      </c>
      <c r="B880" s="33" t="s">
        <v>49</v>
      </c>
      <c r="C880" s="33" t="s">
        <v>107</v>
      </c>
      <c r="D880" s="34" t="n">
        <v>199000</v>
      </c>
      <c r="E880" s="33" t="n">
        <v>9</v>
      </c>
      <c r="F880" s="34" t="n">
        <f aca="false">D880*E880</f>
        <v>1791000</v>
      </c>
      <c r="G880" s="33" t="s">
        <v>50</v>
      </c>
      <c r="H880" s="33" t="str">
        <f aca="false">INDEX(Products!$C$2:$C$51,MATCH(C880,Products!$B$2:$B$51,0))</f>
        <v>Dual-Sport</v>
      </c>
    </row>
    <row r="881" customFormat="false" ht="15" hidden="false" customHeight="false" outlineLevel="0" collapsed="false">
      <c r="A881" s="32" t="n">
        <v>45891</v>
      </c>
      <c r="B881" s="33" t="s">
        <v>53</v>
      </c>
      <c r="C881" s="33" t="s">
        <v>71</v>
      </c>
      <c r="D881" s="34" t="n">
        <v>165000</v>
      </c>
      <c r="E881" s="33" t="n">
        <v>47</v>
      </c>
      <c r="F881" s="34" t="n">
        <f aca="false">D881*E881</f>
        <v>7755000</v>
      </c>
      <c r="G881" s="33" t="s">
        <v>50</v>
      </c>
      <c r="H881" s="33" t="str">
        <f aca="false">INDEX(Products!$C$2:$C$51,MATCH(C881,Products!$B$2:$B$51,0))</f>
        <v>Naked Bike</v>
      </c>
    </row>
    <row r="882" customFormat="false" ht="15" hidden="false" customHeight="false" outlineLevel="0" collapsed="false">
      <c r="A882" s="32" t="n">
        <v>45891</v>
      </c>
      <c r="B882" s="33" t="s">
        <v>53</v>
      </c>
      <c r="C882" s="33" t="s">
        <v>52</v>
      </c>
      <c r="D882" s="34" t="n">
        <v>398000</v>
      </c>
      <c r="E882" s="33" t="n">
        <v>27</v>
      </c>
      <c r="F882" s="34" t="n">
        <f aca="false">D882*E882</f>
        <v>10746000</v>
      </c>
      <c r="G882" s="33" t="s">
        <v>54</v>
      </c>
      <c r="H882" s="33" t="str">
        <f aca="false">INDEX(Products!$C$2:$C$51,MATCH(C882,Products!$B$2:$B$51,0))</f>
        <v>Cruiser</v>
      </c>
    </row>
    <row r="883" customFormat="false" ht="15" hidden="false" customHeight="false" outlineLevel="0" collapsed="false">
      <c r="A883" s="32" t="n">
        <v>45892</v>
      </c>
      <c r="B883" s="33" t="s">
        <v>53</v>
      </c>
      <c r="C883" s="33" t="s">
        <v>115</v>
      </c>
      <c r="D883" s="34" t="n">
        <v>289000</v>
      </c>
      <c r="E883" s="33" t="n">
        <v>12</v>
      </c>
      <c r="F883" s="34" t="n">
        <f aca="false">D883*E883</f>
        <v>3468000</v>
      </c>
      <c r="G883" s="33" t="s">
        <v>57</v>
      </c>
      <c r="H883" s="33" t="str">
        <f aca="false">INDEX(Products!$C$2:$C$51,MATCH(C883,Products!$B$2:$B$51,0))</f>
        <v>Scooter</v>
      </c>
    </row>
    <row r="884" customFormat="false" ht="15" hidden="false" customHeight="false" outlineLevel="0" collapsed="false">
      <c r="A884" s="32" t="n">
        <v>45892</v>
      </c>
      <c r="B884" s="33" t="s">
        <v>49</v>
      </c>
      <c r="C884" s="33" t="s">
        <v>65</v>
      </c>
      <c r="D884" s="34" t="n">
        <v>345000</v>
      </c>
      <c r="E884" s="33" t="n">
        <v>21</v>
      </c>
      <c r="F884" s="34" t="n">
        <f aca="false">D884*E884</f>
        <v>7245000</v>
      </c>
      <c r="G884" s="33" t="s">
        <v>54</v>
      </c>
      <c r="H884" s="33" t="str">
        <f aca="false">INDEX(Products!$C$2:$C$51,MATCH(C884,Products!$B$2:$B$51,0))</f>
        <v>Touring</v>
      </c>
    </row>
    <row r="885" customFormat="false" ht="15" hidden="false" customHeight="false" outlineLevel="0" collapsed="false">
      <c r="A885" s="32" t="n">
        <v>45892</v>
      </c>
      <c r="B885" s="33" t="s">
        <v>53</v>
      </c>
      <c r="C885" s="33" t="s">
        <v>52</v>
      </c>
      <c r="D885" s="34" t="n">
        <v>398000</v>
      </c>
      <c r="E885" s="33" t="n">
        <v>33</v>
      </c>
      <c r="F885" s="34" t="n">
        <f aca="false">D885*E885</f>
        <v>13134000</v>
      </c>
      <c r="G885" s="33" t="s">
        <v>57</v>
      </c>
      <c r="H885" s="33" t="str">
        <f aca="false">INDEX(Products!$C$2:$C$51,MATCH(C885,Products!$B$2:$B$51,0))</f>
        <v>Cruiser</v>
      </c>
    </row>
    <row r="886" customFormat="false" ht="15" hidden="false" customHeight="false" outlineLevel="0" collapsed="false">
      <c r="A886" s="32" t="n">
        <v>45892</v>
      </c>
      <c r="B886" s="33" t="s">
        <v>53</v>
      </c>
      <c r="C886" s="33" t="s">
        <v>117</v>
      </c>
      <c r="D886" s="34" t="n">
        <v>210000</v>
      </c>
      <c r="E886" s="33" t="n">
        <v>11</v>
      </c>
      <c r="F886" s="34" t="n">
        <f aca="false">D886*E886</f>
        <v>2310000</v>
      </c>
      <c r="G886" s="33" t="s">
        <v>54</v>
      </c>
      <c r="H886" s="33" t="str">
        <f aca="false">INDEX(Products!$C$2:$C$51,MATCH(C886,Products!$B$2:$B$51,0))</f>
        <v>Scooter</v>
      </c>
    </row>
    <row r="887" customFormat="false" ht="15" hidden="false" customHeight="false" outlineLevel="0" collapsed="false">
      <c r="A887" s="32" t="n">
        <v>45892</v>
      </c>
      <c r="B887" s="33" t="s">
        <v>49</v>
      </c>
      <c r="C887" s="33" t="s">
        <v>51</v>
      </c>
      <c r="D887" s="34" t="n">
        <v>689000</v>
      </c>
      <c r="E887" s="33" t="n">
        <v>10</v>
      </c>
      <c r="F887" s="34" t="n">
        <f aca="false">D887*E887</f>
        <v>6890000</v>
      </c>
      <c r="G887" s="33" t="s">
        <v>57</v>
      </c>
      <c r="H887" s="33" t="str">
        <f aca="false">INDEX(Products!$C$2:$C$51,MATCH(C887,Products!$B$2:$B$51,0))</f>
        <v>Heritage</v>
      </c>
    </row>
    <row r="888" customFormat="false" ht="15" hidden="false" customHeight="false" outlineLevel="0" collapsed="false">
      <c r="A888" s="32" t="n">
        <v>45892</v>
      </c>
      <c r="B888" s="33" t="s">
        <v>53</v>
      </c>
      <c r="C888" s="33" t="s">
        <v>59</v>
      </c>
      <c r="D888" s="34" t="n">
        <v>165000</v>
      </c>
      <c r="E888" s="33" t="n">
        <v>39</v>
      </c>
      <c r="F888" s="34" t="n">
        <f aca="false">D888*E888</f>
        <v>6435000</v>
      </c>
      <c r="G888" s="33" t="s">
        <v>57</v>
      </c>
      <c r="H888" s="33" t="str">
        <f aca="false">INDEX(Products!$C$2:$C$51,MATCH(C888,Products!$B$2:$B$51,0))</f>
        <v>Sport</v>
      </c>
    </row>
    <row r="889" customFormat="false" ht="15" hidden="false" customHeight="false" outlineLevel="0" collapsed="false">
      <c r="A889" s="32" t="n">
        <v>45892</v>
      </c>
      <c r="B889" s="33" t="s">
        <v>49</v>
      </c>
      <c r="C889" s="33" t="s">
        <v>105</v>
      </c>
      <c r="D889" s="34" t="n">
        <v>349000</v>
      </c>
      <c r="E889" s="33" t="n">
        <v>25</v>
      </c>
      <c r="F889" s="34" t="n">
        <f aca="false">D889*E889</f>
        <v>8725000</v>
      </c>
      <c r="G889" s="33" t="s">
        <v>57</v>
      </c>
      <c r="H889" s="33" t="str">
        <f aca="false">INDEX(Products!$C$2:$C$51,MATCH(C889,Products!$B$2:$B$51,0))</f>
        <v>Cruiser</v>
      </c>
    </row>
    <row r="890" customFormat="false" ht="15" hidden="false" customHeight="false" outlineLevel="0" collapsed="false">
      <c r="A890" s="32" t="n">
        <v>45892</v>
      </c>
      <c r="B890" s="33" t="s">
        <v>53</v>
      </c>
      <c r="C890" s="33" t="s">
        <v>119</v>
      </c>
      <c r="D890" s="34" t="n">
        <v>128000</v>
      </c>
      <c r="E890" s="33" t="n">
        <v>31</v>
      </c>
      <c r="F890" s="34" t="n">
        <f aca="false">D890*E890</f>
        <v>3968000</v>
      </c>
      <c r="G890" s="33" t="s">
        <v>50</v>
      </c>
      <c r="H890" s="33" t="str">
        <f aca="false">INDEX(Products!$C$2:$C$51,MATCH(C890,Products!$B$2:$B$51,0))</f>
        <v>Scooter</v>
      </c>
    </row>
    <row r="891" customFormat="false" ht="15" hidden="false" customHeight="false" outlineLevel="0" collapsed="false">
      <c r="A891" s="32" t="n">
        <v>45892</v>
      </c>
      <c r="B891" s="33" t="s">
        <v>53</v>
      </c>
      <c r="C891" s="33" t="s">
        <v>117</v>
      </c>
      <c r="D891" s="34" t="n">
        <v>210000</v>
      </c>
      <c r="E891" s="33" t="n">
        <v>1</v>
      </c>
      <c r="F891" s="34" t="n">
        <f aca="false">D891*E891</f>
        <v>210000</v>
      </c>
      <c r="G891" s="33" t="s">
        <v>57</v>
      </c>
      <c r="H891" s="33" t="str">
        <f aca="false">INDEX(Products!$C$2:$C$51,MATCH(C891,Products!$B$2:$B$51,0))</f>
        <v>Scooter</v>
      </c>
    </row>
    <row r="892" customFormat="false" ht="15" hidden="false" customHeight="false" outlineLevel="0" collapsed="false">
      <c r="A892" s="32" t="n">
        <v>45892</v>
      </c>
      <c r="B892" s="33" t="s">
        <v>53</v>
      </c>
      <c r="C892" s="33" t="s">
        <v>105</v>
      </c>
      <c r="D892" s="34" t="n">
        <v>349000</v>
      </c>
      <c r="E892" s="33" t="n">
        <v>15</v>
      </c>
      <c r="F892" s="34" t="n">
        <f aca="false">D892*E892</f>
        <v>5235000</v>
      </c>
      <c r="G892" s="33" t="s">
        <v>57</v>
      </c>
      <c r="H892" s="33" t="str">
        <f aca="false">INDEX(Products!$C$2:$C$51,MATCH(C892,Products!$B$2:$B$51,0))</f>
        <v>Cruiser</v>
      </c>
    </row>
    <row r="893" customFormat="false" ht="15" hidden="false" customHeight="false" outlineLevel="0" collapsed="false">
      <c r="A893" s="32" t="n">
        <v>45892</v>
      </c>
      <c r="B893" s="33" t="s">
        <v>49</v>
      </c>
      <c r="C893" s="33" t="s">
        <v>71</v>
      </c>
      <c r="D893" s="34" t="n">
        <v>165000</v>
      </c>
      <c r="E893" s="33" t="n">
        <v>2</v>
      </c>
      <c r="F893" s="34" t="n">
        <f aca="false">D893*E893</f>
        <v>330000</v>
      </c>
      <c r="G893" s="33" t="s">
        <v>50</v>
      </c>
      <c r="H893" s="33" t="str">
        <f aca="false">INDEX(Products!$C$2:$C$51,MATCH(C893,Products!$B$2:$B$51,0))</f>
        <v>Naked Bike</v>
      </c>
    </row>
    <row r="894" customFormat="false" ht="15" hidden="false" customHeight="false" outlineLevel="0" collapsed="false">
      <c r="A894" s="32" t="n">
        <v>45893</v>
      </c>
      <c r="B894" s="33" t="s">
        <v>49</v>
      </c>
      <c r="C894" s="33" t="s">
        <v>125</v>
      </c>
      <c r="D894" s="34" t="n">
        <v>340000</v>
      </c>
      <c r="E894" s="33" t="n">
        <v>6</v>
      </c>
      <c r="F894" s="34" t="n">
        <f aca="false">D894*E894</f>
        <v>2040000</v>
      </c>
      <c r="G894" s="33" t="s">
        <v>54</v>
      </c>
      <c r="H894" s="33" t="str">
        <f aca="false">INDEX(Products!$C$2:$C$51,MATCH(C894,Products!$B$2:$B$51,0))</f>
        <v>Sport</v>
      </c>
    </row>
    <row r="895" customFormat="false" ht="15" hidden="false" customHeight="false" outlineLevel="0" collapsed="false">
      <c r="A895" s="32" t="n">
        <v>45893</v>
      </c>
      <c r="B895" s="33" t="s">
        <v>53</v>
      </c>
      <c r="C895" s="33" t="s">
        <v>67</v>
      </c>
      <c r="D895" s="34" t="n">
        <v>250000</v>
      </c>
      <c r="E895" s="33" t="n">
        <v>35</v>
      </c>
      <c r="F895" s="34" t="n">
        <f aca="false">D895*E895</f>
        <v>8750000</v>
      </c>
      <c r="G895" s="33" t="s">
        <v>57</v>
      </c>
      <c r="H895" s="33" t="str">
        <f aca="false">INDEX(Products!$C$2:$C$51,MATCH(C895,Products!$B$2:$B$51,0))</f>
        <v>Classic</v>
      </c>
    </row>
    <row r="896" customFormat="false" ht="15" hidden="false" customHeight="false" outlineLevel="0" collapsed="false">
      <c r="A896" s="32" t="n">
        <v>45893</v>
      </c>
      <c r="B896" s="33" t="s">
        <v>49</v>
      </c>
      <c r="C896" s="33" t="s">
        <v>102</v>
      </c>
      <c r="D896" s="34" t="n">
        <v>269000</v>
      </c>
      <c r="E896" s="33" t="n">
        <v>19</v>
      </c>
      <c r="F896" s="34" t="n">
        <f aca="false">D896*E896</f>
        <v>5111000</v>
      </c>
      <c r="G896" s="33" t="s">
        <v>50</v>
      </c>
      <c r="H896" s="33" t="str">
        <f aca="false">INDEX(Products!$C$2:$C$51,MATCH(C896,Products!$B$2:$B$51,0))</f>
        <v>Cafe Racer</v>
      </c>
    </row>
    <row r="897" customFormat="false" ht="15" hidden="false" customHeight="false" outlineLevel="0" collapsed="false">
      <c r="A897" s="32" t="n">
        <v>45893</v>
      </c>
      <c r="B897" s="33" t="s">
        <v>49</v>
      </c>
      <c r="C897" s="33" t="s">
        <v>119</v>
      </c>
      <c r="D897" s="34" t="n">
        <v>128000</v>
      </c>
      <c r="E897" s="33" t="n">
        <v>17</v>
      </c>
      <c r="F897" s="34" t="n">
        <f aca="false">D897*E897</f>
        <v>2176000</v>
      </c>
      <c r="G897" s="33" t="s">
        <v>57</v>
      </c>
      <c r="H897" s="33" t="str">
        <f aca="false">INDEX(Products!$C$2:$C$51,MATCH(C897,Products!$B$2:$B$51,0))</f>
        <v>Scooter</v>
      </c>
    </row>
    <row r="898" customFormat="false" ht="15" hidden="false" customHeight="false" outlineLevel="0" collapsed="false">
      <c r="A898" s="32" t="n">
        <v>45893</v>
      </c>
      <c r="B898" s="33" t="s">
        <v>53</v>
      </c>
      <c r="C898" s="33" t="s">
        <v>116</v>
      </c>
      <c r="D898" s="34" t="n">
        <v>219000</v>
      </c>
      <c r="E898" s="33" t="n">
        <v>1</v>
      </c>
      <c r="F898" s="34" t="n">
        <f aca="false">D898*E898</f>
        <v>219000</v>
      </c>
      <c r="G898" s="33" t="s">
        <v>57</v>
      </c>
      <c r="H898" s="33" t="str">
        <f aca="false">INDEX(Products!$C$2:$C$51,MATCH(C898,Products!$B$2:$B$51,0))</f>
        <v>Scooter</v>
      </c>
    </row>
    <row r="899" customFormat="false" ht="15" hidden="false" customHeight="false" outlineLevel="0" collapsed="false">
      <c r="A899" s="32" t="n">
        <v>45893</v>
      </c>
      <c r="B899" s="33" t="s">
        <v>53</v>
      </c>
      <c r="C899" s="33" t="s">
        <v>101</v>
      </c>
      <c r="D899" s="34" t="n">
        <v>328000</v>
      </c>
      <c r="E899" s="33" t="n">
        <v>8</v>
      </c>
      <c r="F899" s="34" t="n">
        <f aca="false">D899*E899</f>
        <v>2624000</v>
      </c>
      <c r="G899" s="33" t="s">
        <v>54</v>
      </c>
      <c r="H899" s="33" t="str">
        <f aca="false">INDEX(Products!$C$2:$C$51,MATCH(C899,Products!$B$2:$B$51,0))</f>
        <v>Cafe Racer</v>
      </c>
    </row>
    <row r="900" customFormat="false" ht="15" hidden="false" customHeight="false" outlineLevel="0" collapsed="false">
      <c r="A900" s="32" t="n">
        <v>45893</v>
      </c>
      <c r="B900" s="33" t="s">
        <v>49</v>
      </c>
      <c r="C900" s="33" t="s">
        <v>71</v>
      </c>
      <c r="D900" s="34" t="n">
        <v>165000</v>
      </c>
      <c r="E900" s="33" t="n">
        <v>15</v>
      </c>
      <c r="F900" s="34" t="n">
        <f aca="false">D900*E900</f>
        <v>2475000</v>
      </c>
      <c r="G900" s="33" t="s">
        <v>54</v>
      </c>
      <c r="H900" s="33" t="str">
        <f aca="false">INDEX(Products!$C$2:$C$51,MATCH(C900,Products!$B$2:$B$51,0))</f>
        <v>Naked Bike</v>
      </c>
    </row>
    <row r="901" customFormat="false" ht="15" hidden="false" customHeight="false" outlineLevel="0" collapsed="false">
      <c r="A901" s="32" t="n">
        <v>45893</v>
      </c>
      <c r="B901" s="33" t="s">
        <v>49</v>
      </c>
      <c r="C901" s="33" t="s">
        <v>127</v>
      </c>
      <c r="D901" s="34" t="n">
        <v>199900</v>
      </c>
      <c r="E901" s="33" t="n">
        <v>17</v>
      </c>
      <c r="F901" s="34" t="n">
        <f aca="false">D901*E901</f>
        <v>3398300</v>
      </c>
      <c r="G901" s="33" t="s">
        <v>57</v>
      </c>
      <c r="H901" s="33" t="str">
        <f aca="false">INDEX(Products!$C$2:$C$51,MATCH(C901,Products!$B$2:$B$51,0))</f>
        <v>Sport Touring</v>
      </c>
    </row>
    <row r="902" customFormat="false" ht="15" hidden="false" customHeight="false" outlineLevel="0" collapsed="false">
      <c r="A902" s="32" t="n">
        <v>45894</v>
      </c>
      <c r="B902" s="33" t="s">
        <v>49</v>
      </c>
      <c r="C902" s="33" t="s">
        <v>125</v>
      </c>
      <c r="D902" s="34" t="n">
        <v>340000</v>
      </c>
      <c r="E902" s="33" t="n">
        <v>13</v>
      </c>
      <c r="F902" s="34" t="n">
        <f aca="false">D902*E902</f>
        <v>4420000</v>
      </c>
      <c r="G902" s="33" t="s">
        <v>50</v>
      </c>
      <c r="H902" s="33" t="str">
        <f aca="false">INDEX(Products!$C$2:$C$51,MATCH(C902,Products!$B$2:$B$51,0))</f>
        <v>Sport</v>
      </c>
    </row>
    <row r="903" customFormat="false" ht="15" hidden="false" customHeight="false" outlineLevel="0" collapsed="false">
      <c r="A903" s="32" t="n">
        <v>45894</v>
      </c>
      <c r="B903" s="33" t="s">
        <v>49</v>
      </c>
      <c r="C903" s="33" t="s">
        <v>64</v>
      </c>
      <c r="D903" s="34" t="n">
        <v>248000</v>
      </c>
      <c r="E903" s="33" t="n">
        <v>44</v>
      </c>
      <c r="F903" s="34" t="n">
        <f aca="false">D903*E903</f>
        <v>10912000</v>
      </c>
      <c r="G903" s="33" t="s">
        <v>57</v>
      </c>
      <c r="H903" s="33" t="str">
        <f aca="false">INDEX(Products!$C$2:$C$51,MATCH(C903,Products!$B$2:$B$51,0))</f>
        <v>Adventure</v>
      </c>
    </row>
    <row r="904" customFormat="false" ht="15" hidden="false" customHeight="false" outlineLevel="0" collapsed="false">
      <c r="A904" s="32" t="n">
        <v>45894</v>
      </c>
      <c r="B904" s="33" t="s">
        <v>53</v>
      </c>
      <c r="C904" s="33" t="s">
        <v>106</v>
      </c>
      <c r="D904" s="34" t="n">
        <v>284900</v>
      </c>
      <c r="E904" s="33" t="n">
        <v>23</v>
      </c>
      <c r="F904" s="34" t="n">
        <f aca="false">D904*E904</f>
        <v>6552700</v>
      </c>
      <c r="G904" s="33" t="s">
        <v>50</v>
      </c>
      <c r="H904" s="33" t="str">
        <f aca="false">INDEX(Products!$C$2:$C$51,MATCH(C904,Products!$B$2:$B$51,0))</f>
        <v>Dual-Sport</v>
      </c>
    </row>
    <row r="905" customFormat="false" ht="15" hidden="false" customHeight="false" outlineLevel="0" collapsed="false">
      <c r="A905" s="32" t="n">
        <v>45894</v>
      </c>
      <c r="B905" s="33" t="s">
        <v>53</v>
      </c>
      <c r="C905" s="33" t="s">
        <v>113</v>
      </c>
      <c r="D905" s="34" t="n">
        <v>182000</v>
      </c>
      <c r="E905" s="33" t="n">
        <v>19</v>
      </c>
      <c r="F905" s="34" t="n">
        <f aca="false">D905*E905</f>
        <v>3458000</v>
      </c>
      <c r="G905" s="33" t="s">
        <v>56</v>
      </c>
      <c r="H905" s="33" t="str">
        <f aca="false">INDEX(Products!$C$2:$C$51,MATCH(C905,Products!$B$2:$B$51,0))</f>
        <v>Retro</v>
      </c>
    </row>
    <row r="906" customFormat="false" ht="15" hidden="false" customHeight="false" outlineLevel="0" collapsed="false">
      <c r="A906" s="32" t="n">
        <v>45894</v>
      </c>
      <c r="B906" s="33" t="s">
        <v>53</v>
      </c>
      <c r="C906" s="33" t="s">
        <v>109</v>
      </c>
      <c r="D906" s="34" t="n">
        <v>178000</v>
      </c>
      <c r="E906" s="33" t="n">
        <v>12</v>
      </c>
      <c r="F906" s="34" t="n">
        <f aca="false">D906*E906</f>
        <v>2136000</v>
      </c>
      <c r="G906" s="33" t="s">
        <v>50</v>
      </c>
      <c r="H906" s="33" t="str">
        <f aca="false">INDEX(Products!$C$2:$C$51,MATCH(C906,Products!$B$2:$B$51,0))</f>
        <v>Naked Bike</v>
      </c>
    </row>
    <row r="907" customFormat="false" ht="15" hidden="false" customHeight="false" outlineLevel="0" collapsed="false">
      <c r="A907" s="32" t="n">
        <v>45894</v>
      </c>
      <c r="B907" s="33" t="s">
        <v>53</v>
      </c>
      <c r="C907" s="33" t="s">
        <v>112</v>
      </c>
      <c r="D907" s="34" t="n">
        <v>125000</v>
      </c>
      <c r="E907" s="33" t="n">
        <v>19</v>
      </c>
      <c r="F907" s="34" t="n">
        <f aca="false">D907*E907</f>
        <v>2375000</v>
      </c>
      <c r="G907" s="33" t="s">
        <v>54</v>
      </c>
      <c r="H907" s="33" t="str">
        <f aca="false">INDEX(Products!$C$2:$C$51,MATCH(C907,Products!$B$2:$B$51,0))</f>
        <v>Naked Bike</v>
      </c>
    </row>
    <row r="908" customFormat="false" ht="15" hidden="false" customHeight="false" outlineLevel="0" collapsed="false">
      <c r="A908" s="32" t="n">
        <v>45894</v>
      </c>
      <c r="B908" s="33" t="s">
        <v>49</v>
      </c>
      <c r="C908" s="33" t="s">
        <v>62</v>
      </c>
      <c r="D908" s="34" t="n">
        <v>650000</v>
      </c>
      <c r="E908" s="33" t="n">
        <v>50</v>
      </c>
      <c r="F908" s="34" t="n">
        <f aca="false">D908*E908</f>
        <v>32500000</v>
      </c>
      <c r="G908" s="33" t="s">
        <v>57</v>
      </c>
      <c r="H908" s="33" t="str">
        <f aca="false">INDEX(Products!$C$2:$C$51,MATCH(C908,Products!$B$2:$B$51,0))</f>
        <v>Cruiser</v>
      </c>
    </row>
    <row r="909" customFormat="false" ht="15" hidden="false" customHeight="false" outlineLevel="0" collapsed="false">
      <c r="A909" s="32" t="n">
        <v>45894</v>
      </c>
      <c r="B909" s="33" t="s">
        <v>53</v>
      </c>
      <c r="C909" s="33" t="s">
        <v>118</v>
      </c>
      <c r="D909" s="34" t="n">
        <v>151900</v>
      </c>
      <c r="E909" s="33" t="n">
        <v>14</v>
      </c>
      <c r="F909" s="34" t="n">
        <f aca="false">D909*E909</f>
        <v>2126600</v>
      </c>
      <c r="G909" s="33" t="s">
        <v>50</v>
      </c>
      <c r="H909" s="33" t="str">
        <f aca="false">INDEX(Products!$C$2:$C$51,MATCH(C909,Products!$B$2:$B$51,0))</f>
        <v>Scooter</v>
      </c>
    </row>
    <row r="910" customFormat="false" ht="15" hidden="false" customHeight="false" outlineLevel="0" collapsed="false">
      <c r="A910" s="32" t="n">
        <v>45894</v>
      </c>
      <c r="B910" s="33" t="s">
        <v>53</v>
      </c>
      <c r="C910" s="33" t="s">
        <v>106</v>
      </c>
      <c r="D910" s="34" t="n">
        <v>284900</v>
      </c>
      <c r="E910" s="33" t="n">
        <v>13</v>
      </c>
      <c r="F910" s="34" t="n">
        <f aca="false">D910*E910</f>
        <v>3703700</v>
      </c>
      <c r="G910" s="33" t="s">
        <v>50</v>
      </c>
      <c r="H910" s="33" t="str">
        <f aca="false">INDEX(Products!$C$2:$C$51,MATCH(C910,Products!$B$2:$B$51,0))</f>
        <v>Dual-Sport</v>
      </c>
    </row>
    <row r="911" customFormat="false" ht="15" hidden="false" customHeight="false" outlineLevel="0" collapsed="false">
      <c r="A911" s="32" t="n">
        <v>45894</v>
      </c>
      <c r="B911" s="33" t="s">
        <v>53</v>
      </c>
      <c r="C911" s="33" t="s">
        <v>120</v>
      </c>
      <c r="D911" s="34" t="n">
        <v>124000</v>
      </c>
      <c r="E911" s="33" t="n">
        <v>15</v>
      </c>
      <c r="F911" s="34" t="n">
        <f aca="false">D911*E911</f>
        <v>1860000</v>
      </c>
      <c r="G911" s="33" t="s">
        <v>57</v>
      </c>
      <c r="H911" s="33" t="str">
        <f aca="false">INDEX(Products!$C$2:$C$51,MATCH(C911,Products!$B$2:$B$51,0))</f>
        <v>Scooter</v>
      </c>
    </row>
    <row r="912" customFormat="false" ht="15" hidden="false" customHeight="false" outlineLevel="0" collapsed="false">
      <c r="A912" s="32" t="n">
        <v>45894</v>
      </c>
      <c r="B912" s="33" t="s">
        <v>49</v>
      </c>
      <c r="C912" s="33" t="s">
        <v>120</v>
      </c>
      <c r="D912" s="34" t="n">
        <v>124000</v>
      </c>
      <c r="E912" s="33" t="n">
        <v>9</v>
      </c>
      <c r="F912" s="34" t="n">
        <f aca="false">D912*E912</f>
        <v>1116000</v>
      </c>
      <c r="G912" s="33" t="s">
        <v>57</v>
      </c>
      <c r="H912" s="33" t="str">
        <f aca="false">INDEX(Products!$C$2:$C$51,MATCH(C912,Products!$B$2:$B$51,0))</f>
        <v>Scooter</v>
      </c>
    </row>
    <row r="913" customFormat="false" ht="15" hidden="false" customHeight="false" outlineLevel="0" collapsed="false">
      <c r="A913" s="32" t="n">
        <v>45894</v>
      </c>
      <c r="B913" s="33" t="s">
        <v>49</v>
      </c>
      <c r="C913" s="33" t="s">
        <v>103</v>
      </c>
      <c r="D913" s="34" t="n">
        <v>48000</v>
      </c>
      <c r="E913" s="33" t="n">
        <v>23</v>
      </c>
      <c r="F913" s="34" t="n">
        <f aca="false">D913*E913</f>
        <v>1104000</v>
      </c>
      <c r="G913" s="33" t="s">
        <v>50</v>
      </c>
      <c r="H913" s="33" t="str">
        <f aca="false">INDEX(Products!$C$2:$C$51,MATCH(C913,Products!$B$2:$B$51,0))</f>
        <v>Commuter</v>
      </c>
    </row>
    <row r="914" customFormat="false" ht="15" hidden="false" customHeight="false" outlineLevel="0" collapsed="false">
      <c r="A914" s="32" t="n">
        <v>45894</v>
      </c>
      <c r="B914" s="33" t="s">
        <v>49</v>
      </c>
      <c r="C914" s="33" t="s">
        <v>51</v>
      </c>
      <c r="D914" s="34" t="n">
        <v>689000</v>
      </c>
      <c r="E914" s="33" t="n">
        <v>28</v>
      </c>
      <c r="F914" s="34" t="n">
        <f aca="false">D914*E914</f>
        <v>19292000</v>
      </c>
      <c r="G914" s="33" t="s">
        <v>50</v>
      </c>
      <c r="H914" s="33" t="str">
        <f aca="false">INDEX(Products!$C$2:$C$51,MATCH(C914,Products!$B$2:$B$51,0))</f>
        <v>Heritage</v>
      </c>
    </row>
    <row r="915" customFormat="false" ht="15" hidden="false" customHeight="false" outlineLevel="0" collapsed="false">
      <c r="A915" s="32" t="n">
        <v>45894</v>
      </c>
      <c r="B915" s="33" t="s">
        <v>49</v>
      </c>
      <c r="C915" s="33" t="s">
        <v>122</v>
      </c>
      <c r="D915" s="34" t="n">
        <v>80900</v>
      </c>
      <c r="E915" s="33" t="n">
        <v>19</v>
      </c>
      <c r="F915" s="34" t="n">
        <f aca="false">D915*E915</f>
        <v>1537100</v>
      </c>
      <c r="G915" s="33" t="s">
        <v>54</v>
      </c>
      <c r="H915" s="33" t="str">
        <f aca="false">INDEX(Products!$C$2:$C$51,MATCH(C915,Products!$B$2:$B$51,0))</f>
        <v>Scooter</v>
      </c>
    </row>
    <row r="916" customFormat="false" ht="15" hidden="false" customHeight="false" outlineLevel="0" collapsed="false">
      <c r="A916" s="32" t="n">
        <v>45894</v>
      </c>
      <c r="B916" s="33" t="s">
        <v>53</v>
      </c>
      <c r="C916" s="33" t="s">
        <v>71</v>
      </c>
      <c r="D916" s="34" t="n">
        <v>165000</v>
      </c>
      <c r="E916" s="33" t="n">
        <v>14</v>
      </c>
      <c r="F916" s="34" t="n">
        <f aca="false">D916*E916</f>
        <v>2310000</v>
      </c>
      <c r="G916" s="33" t="s">
        <v>57</v>
      </c>
      <c r="H916" s="33" t="str">
        <f aca="false">INDEX(Products!$C$2:$C$51,MATCH(C916,Products!$B$2:$B$51,0))</f>
        <v>Naked Bike</v>
      </c>
    </row>
    <row r="917" customFormat="false" ht="15" hidden="false" customHeight="false" outlineLevel="0" collapsed="false">
      <c r="A917" s="32" t="n">
        <v>45895</v>
      </c>
      <c r="B917" s="33" t="s">
        <v>49</v>
      </c>
      <c r="C917" s="33" t="s">
        <v>51</v>
      </c>
      <c r="D917" s="34" t="n">
        <v>689000</v>
      </c>
      <c r="E917" s="33" t="n">
        <v>15</v>
      </c>
      <c r="F917" s="34" t="n">
        <f aca="false">D917*E917</f>
        <v>10335000</v>
      </c>
      <c r="G917" s="33" t="s">
        <v>54</v>
      </c>
      <c r="H917" s="33" t="str">
        <f aca="false">INDEX(Products!$C$2:$C$51,MATCH(C917,Products!$B$2:$B$51,0))</f>
        <v>Heritage</v>
      </c>
    </row>
    <row r="918" customFormat="false" ht="15" hidden="false" customHeight="false" outlineLevel="0" collapsed="false">
      <c r="A918" s="32" t="n">
        <v>45895</v>
      </c>
      <c r="B918" s="33" t="s">
        <v>53</v>
      </c>
      <c r="C918" s="33" t="s">
        <v>113</v>
      </c>
      <c r="D918" s="34" t="n">
        <v>182000</v>
      </c>
      <c r="E918" s="33" t="n">
        <v>2</v>
      </c>
      <c r="F918" s="34" t="n">
        <f aca="false">D918*E918</f>
        <v>364000</v>
      </c>
      <c r="G918" s="33" t="s">
        <v>54</v>
      </c>
      <c r="H918" s="33" t="str">
        <f aca="false">INDEX(Products!$C$2:$C$51,MATCH(C918,Products!$B$2:$B$51,0))</f>
        <v>Retro</v>
      </c>
    </row>
    <row r="919" customFormat="false" ht="15" hidden="false" customHeight="false" outlineLevel="0" collapsed="false">
      <c r="A919" s="32" t="n">
        <v>45895</v>
      </c>
      <c r="B919" s="33" t="s">
        <v>49</v>
      </c>
      <c r="C919" s="33" t="s">
        <v>116</v>
      </c>
      <c r="D919" s="34" t="n">
        <v>219000</v>
      </c>
      <c r="E919" s="33" t="n">
        <v>40</v>
      </c>
      <c r="F919" s="34" t="n">
        <f aca="false">D919*E919</f>
        <v>8760000</v>
      </c>
      <c r="G919" s="33" t="s">
        <v>54</v>
      </c>
      <c r="H919" s="33" t="str">
        <f aca="false">INDEX(Products!$C$2:$C$51,MATCH(C919,Products!$B$2:$B$51,0))</f>
        <v>Scooter</v>
      </c>
    </row>
    <row r="920" customFormat="false" ht="15" hidden="false" customHeight="false" outlineLevel="0" collapsed="false">
      <c r="A920" s="32" t="n">
        <v>45895</v>
      </c>
      <c r="B920" s="33" t="s">
        <v>49</v>
      </c>
      <c r="C920" s="33" t="s">
        <v>99</v>
      </c>
      <c r="D920" s="34" t="n">
        <v>369000</v>
      </c>
      <c r="E920" s="33" t="n">
        <v>34</v>
      </c>
      <c r="F920" s="34" t="n">
        <f aca="false">D920*E920</f>
        <v>12546000</v>
      </c>
      <c r="G920" s="33" t="s">
        <v>54</v>
      </c>
      <c r="H920" s="33" t="str">
        <f aca="false">INDEX(Products!$C$2:$C$51,MATCH(C920,Products!$B$2:$B$51,0))</f>
        <v>Adventure</v>
      </c>
    </row>
    <row r="921" customFormat="false" ht="15" hidden="false" customHeight="false" outlineLevel="0" collapsed="false">
      <c r="A921" s="32" t="n">
        <v>45895</v>
      </c>
      <c r="B921" s="33" t="s">
        <v>53</v>
      </c>
      <c r="C921" s="33" t="s">
        <v>101</v>
      </c>
      <c r="D921" s="34" t="n">
        <v>328000</v>
      </c>
      <c r="E921" s="33" t="n">
        <v>4</v>
      </c>
      <c r="F921" s="34" t="n">
        <f aca="false">D921*E921</f>
        <v>1312000</v>
      </c>
      <c r="G921" s="33" t="s">
        <v>50</v>
      </c>
      <c r="H921" s="33" t="str">
        <f aca="false">INDEX(Products!$C$2:$C$51,MATCH(C921,Products!$B$2:$B$51,0))</f>
        <v>Cafe Racer</v>
      </c>
    </row>
    <row r="922" customFormat="false" ht="15" hidden="false" customHeight="false" outlineLevel="0" collapsed="false">
      <c r="A922" s="32" t="n">
        <v>45895</v>
      </c>
      <c r="B922" s="33" t="s">
        <v>49</v>
      </c>
      <c r="C922" s="33" t="s">
        <v>99</v>
      </c>
      <c r="D922" s="34" t="n">
        <v>369000</v>
      </c>
      <c r="E922" s="33" t="n">
        <v>12</v>
      </c>
      <c r="F922" s="34" t="n">
        <f aca="false">D922*E922</f>
        <v>4428000</v>
      </c>
      <c r="G922" s="33" t="s">
        <v>57</v>
      </c>
      <c r="H922" s="33" t="str">
        <f aca="false">INDEX(Products!$C$2:$C$51,MATCH(C922,Products!$B$2:$B$51,0))</f>
        <v>Adventure</v>
      </c>
    </row>
    <row r="923" customFormat="false" ht="15" hidden="false" customHeight="false" outlineLevel="0" collapsed="false">
      <c r="A923" s="32" t="n">
        <v>45895</v>
      </c>
      <c r="B923" s="33" t="s">
        <v>49</v>
      </c>
      <c r="C923" s="33" t="s">
        <v>120</v>
      </c>
      <c r="D923" s="34" t="n">
        <v>124000</v>
      </c>
      <c r="E923" s="33" t="n">
        <v>28</v>
      </c>
      <c r="F923" s="34" t="n">
        <f aca="false">D923*E923</f>
        <v>3472000</v>
      </c>
      <c r="G923" s="33" t="s">
        <v>50</v>
      </c>
      <c r="H923" s="33" t="str">
        <f aca="false">INDEX(Products!$C$2:$C$51,MATCH(C923,Products!$B$2:$B$51,0))</f>
        <v>Scooter</v>
      </c>
    </row>
    <row r="924" customFormat="false" ht="15" hidden="false" customHeight="false" outlineLevel="0" collapsed="false">
      <c r="A924" s="32" t="n">
        <v>45895</v>
      </c>
      <c r="B924" s="33" t="s">
        <v>53</v>
      </c>
      <c r="C924" s="33" t="s">
        <v>107</v>
      </c>
      <c r="D924" s="34" t="n">
        <v>199000</v>
      </c>
      <c r="E924" s="33" t="n">
        <v>50</v>
      </c>
      <c r="F924" s="34" t="n">
        <f aca="false">D924*E924</f>
        <v>9950000</v>
      </c>
      <c r="G924" s="33" t="s">
        <v>50</v>
      </c>
      <c r="H924" s="33" t="str">
        <f aca="false">INDEX(Products!$C$2:$C$51,MATCH(C924,Products!$B$2:$B$51,0))</f>
        <v>Dual-Sport</v>
      </c>
    </row>
    <row r="925" customFormat="false" ht="15" hidden="false" customHeight="false" outlineLevel="0" collapsed="false">
      <c r="A925" s="32" t="n">
        <v>45895</v>
      </c>
      <c r="B925" s="33" t="s">
        <v>49</v>
      </c>
      <c r="C925" s="33" t="s">
        <v>64</v>
      </c>
      <c r="D925" s="34" t="n">
        <v>248000</v>
      </c>
      <c r="E925" s="33" t="n">
        <v>43</v>
      </c>
      <c r="F925" s="34" t="n">
        <f aca="false">D925*E925</f>
        <v>10664000</v>
      </c>
      <c r="G925" s="33" t="s">
        <v>54</v>
      </c>
      <c r="H925" s="33" t="str">
        <f aca="false">INDEX(Products!$C$2:$C$51,MATCH(C925,Products!$B$2:$B$51,0))</f>
        <v>Adventure</v>
      </c>
    </row>
    <row r="926" customFormat="false" ht="15" hidden="false" customHeight="false" outlineLevel="0" collapsed="false">
      <c r="A926" s="32" t="n">
        <v>45895</v>
      </c>
      <c r="B926" s="33" t="s">
        <v>49</v>
      </c>
      <c r="C926" s="33" t="s">
        <v>126</v>
      </c>
      <c r="D926" s="34" t="n">
        <v>198000</v>
      </c>
      <c r="E926" s="33" t="n">
        <v>44</v>
      </c>
      <c r="F926" s="34" t="n">
        <f aca="false">D926*E926</f>
        <v>8712000</v>
      </c>
      <c r="G926" s="33" t="s">
        <v>50</v>
      </c>
      <c r="H926" s="33" t="str">
        <f aca="false">INDEX(Products!$C$2:$C$51,MATCH(C926,Products!$B$2:$B$51,0))</f>
        <v>Sport</v>
      </c>
    </row>
    <row r="927" customFormat="false" ht="15" hidden="false" customHeight="false" outlineLevel="0" collapsed="false">
      <c r="A927" s="32" t="n">
        <v>45896</v>
      </c>
      <c r="B927" s="33" t="s">
        <v>49</v>
      </c>
      <c r="C927" s="33" t="s">
        <v>117</v>
      </c>
      <c r="D927" s="34" t="n">
        <v>210000</v>
      </c>
      <c r="E927" s="33" t="n">
        <v>2</v>
      </c>
      <c r="F927" s="34" t="n">
        <f aca="false">D927*E927</f>
        <v>420000</v>
      </c>
      <c r="G927" s="33" t="s">
        <v>57</v>
      </c>
      <c r="H927" s="33" t="str">
        <f aca="false">INDEX(Products!$C$2:$C$51,MATCH(C927,Products!$B$2:$B$51,0))</f>
        <v>Scooter</v>
      </c>
    </row>
    <row r="928" customFormat="false" ht="15" hidden="false" customHeight="false" outlineLevel="0" collapsed="false">
      <c r="A928" s="32" t="n">
        <v>45896</v>
      </c>
      <c r="B928" s="33" t="s">
        <v>53</v>
      </c>
      <c r="C928" s="33" t="s">
        <v>60</v>
      </c>
      <c r="D928" s="34" t="n">
        <v>599000</v>
      </c>
      <c r="E928" s="33" t="n">
        <v>46</v>
      </c>
      <c r="F928" s="34" t="n">
        <f aca="false">D928*E928</f>
        <v>27554000</v>
      </c>
      <c r="G928" s="33" t="s">
        <v>50</v>
      </c>
      <c r="H928" s="33" t="str">
        <f aca="false">INDEX(Products!$C$2:$C$51,MATCH(C928,Products!$B$2:$B$51,0))</f>
        <v>Naked Bike</v>
      </c>
    </row>
    <row r="929" customFormat="false" ht="15" hidden="false" customHeight="false" outlineLevel="0" collapsed="false">
      <c r="A929" s="32" t="n">
        <v>45896</v>
      </c>
      <c r="B929" s="33" t="s">
        <v>49</v>
      </c>
      <c r="C929" s="33" t="s">
        <v>110</v>
      </c>
      <c r="D929" s="34" t="n">
        <v>178000</v>
      </c>
      <c r="E929" s="33" t="n">
        <v>38</v>
      </c>
      <c r="F929" s="34" t="n">
        <f aca="false">D929*E929</f>
        <v>6764000</v>
      </c>
      <c r="G929" s="33" t="s">
        <v>54</v>
      </c>
      <c r="H929" s="33" t="str">
        <f aca="false">INDEX(Products!$C$2:$C$51,MATCH(C929,Products!$B$2:$B$51,0))</f>
        <v>Naked Bike</v>
      </c>
    </row>
    <row r="930" customFormat="false" ht="15" hidden="false" customHeight="false" outlineLevel="0" collapsed="false">
      <c r="A930" s="32" t="n">
        <v>45896</v>
      </c>
      <c r="B930" s="33" t="s">
        <v>49</v>
      </c>
      <c r="C930" s="33" t="s">
        <v>120</v>
      </c>
      <c r="D930" s="34" t="n">
        <v>124000</v>
      </c>
      <c r="E930" s="33" t="n">
        <v>10</v>
      </c>
      <c r="F930" s="34" t="n">
        <f aca="false">D930*E930</f>
        <v>1240000</v>
      </c>
      <c r="G930" s="33" t="s">
        <v>54</v>
      </c>
      <c r="H930" s="33" t="str">
        <f aca="false">INDEX(Products!$C$2:$C$51,MATCH(C930,Products!$B$2:$B$51,0))</f>
        <v>Scooter</v>
      </c>
    </row>
    <row r="931" customFormat="false" ht="15" hidden="false" customHeight="false" outlineLevel="0" collapsed="false">
      <c r="A931" s="32" t="n">
        <v>45896</v>
      </c>
      <c r="B931" s="33" t="s">
        <v>53</v>
      </c>
      <c r="C931" s="33" t="s">
        <v>61</v>
      </c>
      <c r="D931" s="34" t="n">
        <v>299000</v>
      </c>
      <c r="E931" s="33" t="n">
        <v>40</v>
      </c>
      <c r="F931" s="34" t="n">
        <f aca="false">D931*E931</f>
        <v>11960000</v>
      </c>
      <c r="G931" s="33" t="s">
        <v>54</v>
      </c>
      <c r="H931" s="33" t="str">
        <f aca="false">INDEX(Products!$C$2:$C$51,MATCH(C931,Products!$B$2:$B$51,0))</f>
        <v>Dual-Sport</v>
      </c>
    </row>
    <row r="932" customFormat="false" ht="15" hidden="false" customHeight="false" outlineLevel="0" collapsed="false">
      <c r="A932" s="32" t="n">
        <v>45896</v>
      </c>
      <c r="B932" s="33" t="s">
        <v>53</v>
      </c>
      <c r="C932" s="33" t="s">
        <v>112</v>
      </c>
      <c r="D932" s="34" t="n">
        <v>125000</v>
      </c>
      <c r="E932" s="33" t="n">
        <v>14</v>
      </c>
      <c r="F932" s="34" t="n">
        <f aca="false">D932*E932</f>
        <v>1750000</v>
      </c>
      <c r="G932" s="33" t="s">
        <v>54</v>
      </c>
      <c r="H932" s="33" t="str">
        <f aca="false">INDEX(Products!$C$2:$C$51,MATCH(C932,Products!$B$2:$B$51,0))</f>
        <v>Naked Bike</v>
      </c>
    </row>
    <row r="933" customFormat="false" ht="15" hidden="false" customHeight="false" outlineLevel="0" collapsed="false">
      <c r="A933" s="32" t="n">
        <v>45896</v>
      </c>
      <c r="B933" s="33" t="s">
        <v>53</v>
      </c>
      <c r="C933" s="33" t="s">
        <v>107</v>
      </c>
      <c r="D933" s="34" t="n">
        <v>199000</v>
      </c>
      <c r="E933" s="33" t="n">
        <v>17</v>
      </c>
      <c r="F933" s="34" t="n">
        <f aca="false">D933*E933</f>
        <v>3383000</v>
      </c>
      <c r="G933" s="33" t="s">
        <v>50</v>
      </c>
      <c r="H933" s="33" t="str">
        <f aca="false">INDEX(Products!$C$2:$C$51,MATCH(C933,Products!$B$2:$B$51,0))</f>
        <v>Dual-Sport</v>
      </c>
    </row>
    <row r="934" customFormat="false" ht="15" hidden="false" customHeight="false" outlineLevel="0" collapsed="false">
      <c r="A934" s="32" t="n">
        <v>45896</v>
      </c>
      <c r="B934" s="33" t="s">
        <v>53</v>
      </c>
      <c r="C934" s="33" t="s">
        <v>118</v>
      </c>
      <c r="D934" s="34" t="n">
        <v>151900</v>
      </c>
      <c r="E934" s="33" t="n">
        <v>19</v>
      </c>
      <c r="F934" s="34" t="n">
        <f aca="false">D934*E934</f>
        <v>2886100</v>
      </c>
      <c r="G934" s="33" t="s">
        <v>50</v>
      </c>
      <c r="H934" s="33" t="str">
        <f aca="false">INDEX(Products!$C$2:$C$51,MATCH(C934,Products!$B$2:$B$51,0))</f>
        <v>Scooter</v>
      </c>
    </row>
    <row r="935" customFormat="false" ht="15" hidden="false" customHeight="false" outlineLevel="0" collapsed="false">
      <c r="A935" s="32" t="n">
        <v>45896</v>
      </c>
      <c r="B935" s="33" t="s">
        <v>49</v>
      </c>
      <c r="C935" s="33" t="s">
        <v>107</v>
      </c>
      <c r="D935" s="34" t="n">
        <v>199000</v>
      </c>
      <c r="E935" s="33" t="n">
        <v>13</v>
      </c>
      <c r="F935" s="34" t="n">
        <f aca="false">D935*E935</f>
        <v>2587000</v>
      </c>
      <c r="G935" s="33" t="s">
        <v>50</v>
      </c>
      <c r="H935" s="33" t="str">
        <f aca="false">INDEX(Products!$C$2:$C$51,MATCH(C935,Products!$B$2:$B$51,0))</f>
        <v>Dual-Sport</v>
      </c>
    </row>
    <row r="936" customFormat="false" ht="15" hidden="false" customHeight="false" outlineLevel="0" collapsed="false">
      <c r="A936" s="32" t="n">
        <v>45897</v>
      </c>
      <c r="B936" s="33" t="s">
        <v>56</v>
      </c>
      <c r="C936" s="33" t="s">
        <v>64</v>
      </c>
      <c r="D936" s="34" t="n">
        <v>248000</v>
      </c>
      <c r="E936" s="33" t="n">
        <v>8</v>
      </c>
      <c r="F936" s="34" t="n">
        <f aca="false">D936*E936</f>
        <v>1984000</v>
      </c>
      <c r="G936" s="33" t="s">
        <v>50</v>
      </c>
      <c r="H936" s="33" t="str">
        <f aca="false">INDEX(Products!$C$2:$C$51,MATCH(C936,Products!$B$2:$B$51,0))</f>
        <v>Adventure</v>
      </c>
    </row>
    <row r="937" customFormat="false" ht="15" hidden="false" customHeight="false" outlineLevel="0" collapsed="false">
      <c r="A937" s="32" t="n">
        <v>45897</v>
      </c>
      <c r="B937" s="33" t="s">
        <v>49</v>
      </c>
      <c r="C937" s="33" t="s">
        <v>58</v>
      </c>
      <c r="D937" s="34" t="n">
        <v>995000</v>
      </c>
      <c r="E937" s="33" t="n">
        <v>8</v>
      </c>
      <c r="F937" s="34" t="n">
        <f aca="false">D937*E937</f>
        <v>7960000</v>
      </c>
      <c r="G937" s="33" t="s">
        <v>50</v>
      </c>
      <c r="H937" s="33" t="str">
        <f aca="false">INDEX(Products!$C$2:$C$51,MATCH(C937,Products!$B$2:$B$51,0))</f>
        <v>Heritage</v>
      </c>
    </row>
    <row r="938" customFormat="false" ht="15" hidden="false" customHeight="false" outlineLevel="0" collapsed="false">
      <c r="A938" s="32" t="n">
        <v>45897</v>
      </c>
      <c r="B938" s="33" t="s">
        <v>53</v>
      </c>
      <c r="C938" s="33" t="s">
        <v>129</v>
      </c>
      <c r="D938" s="34" t="n">
        <v>125900</v>
      </c>
      <c r="E938" s="33" t="n">
        <v>28</v>
      </c>
      <c r="F938" s="34" t="n">
        <f aca="false">D938*E938</f>
        <v>3525200</v>
      </c>
      <c r="G938" s="33" t="s">
        <v>57</v>
      </c>
      <c r="H938" s="33" t="str">
        <f aca="false">INDEX(Products!$C$2:$C$51,MATCH(C938,Products!$B$2:$B$51,0))</f>
        <v>Underbone</v>
      </c>
    </row>
    <row r="939" customFormat="false" ht="15" hidden="false" customHeight="false" outlineLevel="0" collapsed="false">
      <c r="A939" s="32" t="n">
        <v>45897</v>
      </c>
      <c r="B939" s="33" t="s">
        <v>53</v>
      </c>
      <c r="C939" s="33" t="s">
        <v>114</v>
      </c>
      <c r="D939" s="34" t="n">
        <v>319000</v>
      </c>
      <c r="E939" s="33" t="n">
        <v>22</v>
      </c>
      <c r="F939" s="34" t="n">
        <f aca="false">D939*E939</f>
        <v>7018000</v>
      </c>
      <c r="G939" s="33" t="s">
        <v>57</v>
      </c>
      <c r="H939" s="33" t="str">
        <f aca="false">INDEX(Products!$C$2:$C$51,MATCH(C939,Products!$B$2:$B$51,0))</f>
        <v>Scooter</v>
      </c>
    </row>
    <row r="940" customFormat="false" ht="15" hidden="false" customHeight="false" outlineLevel="0" collapsed="false">
      <c r="A940" s="32" t="n">
        <v>45897</v>
      </c>
      <c r="B940" s="33" t="s">
        <v>53</v>
      </c>
      <c r="C940" s="33" t="s">
        <v>104</v>
      </c>
      <c r="D940" s="34" t="n">
        <v>499000</v>
      </c>
      <c r="E940" s="33" t="n">
        <v>13</v>
      </c>
      <c r="F940" s="34" t="n">
        <f aca="false">D940*E940</f>
        <v>6487000</v>
      </c>
      <c r="G940" s="33" t="s">
        <v>54</v>
      </c>
      <c r="H940" s="33" t="str">
        <f aca="false">INDEX(Products!$C$2:$C$51,MATCH(C940,Products!$B$2:$B$51,0))</f>
        <v>Cruiser</v>
      </c>
    </row>
    <row r="941" customFormat="false" ht="15" hidden="false" customHeight="false" outlineLevel="0" collapsed="false">
      <c r="A941" s="32" t="n">
        <v>45897</v>
      </c>
      <c r="B941" s="33" t="s">
        <v>49</v>
      </c>
      <c r="C941" s="33" t="s">
        <v>103</v>
      </c>
      <c r="D941" s="34" t="n">
        <v>48000</v>
      </c>
      <c r="E941" s="33" t="n">
        <v>32</v>
      </c>
      <c r="F941" s="34" t="n">
        <f aca="false">D941*E941</f>
        <v>1536000</v>
      </c>
      <c r="G941" s="33" t="s">
        <v>50</v>
      </c>
      <c r="H941" s="33" t="str">
        <f aca="false">INDEX(Products!$C$2:$C$51,MATCH(C941,Products!$B$2:$B$51,0))</f>
        <v>Commuter</v>
      </c>
    </row>
    <row r="942" customFormat="false" ht="15" hidden="false" customHeight="false" outlineLevel="0" collapsed="false">
      <c r="A942" s="32" t="n">
        <v>45897</v>
      </c>
      <c r="B942" s="33" t="s">
        <v>49</v>
      </c>
      <c r="C942" s="33" t="s">
        <v>62</v>
      </c>
      <c r="D942" s="34" t="n">
        <v>650000</v>
      </c>
      <c r="E942" s="33" t="n">
        <v>11</v>
      </c>
      <c r="F942" s="34" t="n">
        <f aca="false">D942*E942</f>
        <v>7150000</v>
      </c>
      <c r="G942" s="33" t="s">
        <v>54</v>
      </c>
      <c r="H942" s="33" t="str">
        <f aca="false">INDEX(Products!$C$2:$C$51,MATCH(C942,Products!$B$2:$B$51,0))</f>
        <v>Cruiser</v>
      </c>
    </row>
    <row r="943" customFormat="false" ht="15" hidden="false" customHeight="false" outlineLevel="0" collapsed="false">
      <c r="A943" s="32" t="n">
        <v>45897</v>
      </c>
      <c r="B943" s="33" t="s">
        <v>53</v>
      </c>
      <c r="C943" s="33" t="s">
        <v>115</v>
      </c>
      <c r="D943" s="34" t="n">
        <v>289000</v>
      </c>
      <c r="E943" s="33" t="n">
        <v>10</v>
      </c>
      <c r="F943" s="34" t="n">
        <f aca="false">D943*E943</f>
        <v>2890000</v>
      </c>
      <c r="G943" s="33" t="s">
        <v>57</v>
      </c>
      <c r="H943" s="33" t="str">
        <f aca="false">INDEX(Products!$C$2:$C$51,MATCH(C943,Products!$B$2:$B$51,0))</f>
        <v>Scooter</v>
      </c>
    </row>
    <row r="944" customFormat="false" ht="15" hidden="false" customHeight="false" outlineLevel="0" collapsed="false">
      <c r="A944" s="32" t="n">
        <v>45897</v>
      </c>
      <c r="B944" s="33" t="s">
        <v>49</v>
      </c>
      <c r="C944" s="33" t="s">
        <v>100</v>
      </c>
      <c r="D944" s="34" t="n">
        <v>78900</v>
      </c>
      <c r="E944" s="33" t="n">
        <v>48</v>
      </c>
      <c r="F944" s="34" t="n">
        <f aca="false">D944*E944</f>
        <v>3787200</v>
      </c>
      <c r="G944" s="33" t="s">
        <v>54</v>
      </c>
      <c r="H944" s="33" t="str">
        <f aca="false">INDEX(Products!$C$2:$C$51,MATCH(C944,Products!$B$2:$B$51,0))</f>
        <v>Adventure</v>
      </c>
    </row>
    <row r="945" customFormat="false" ht="15" hidden="false" customHeight="false" outlineLevel="0" collapsed="false">
      <c r="A945" s="32" t="n">
        <v>45897</v>
      </c>
      <c r="B945" s="33" t="s">
        <v>53</v>
      </c>
      <c r="C945" s="33" t="s">
        <v>52</v>
      </c>
      <c r="D945" s="34" t="n">
        <v>398000</v>
      </c>
      <c r="E945" s="33" t="n">
        <v>2</v>
      </c>
      <c r="F945" s="34" t="n">
        <f aca="false">D945*E945</f>
        <v>796000</v>
      </c>
      <c r="G945" s="33" t="s">
        <v>57</v>
      </c>
      <c r="H945" s="33" t="str">
        <f aca="false">INDEX(Products!$C$2:$C$51,MATCH(C945,Products!$B$2:$B$51,0))</f>
        <v>Cruiser</v>
      </c>
    </row>
    <row r="946" customFormat="false" ht="15" hidden="false" customHeight="false" outlineLevel="0" collapsed="false">
      <c r="A946" s="32" t="n">
        <v>45897</v>
      </c>
      <c r="B946" s="33" t="s">
        <v>49</v>
      </c>
      <c r="C946" s="33" t="s">
        <v>69</v>
      </c>
      <c r="D946" s="34" t="n">
        <v>164900</v>
      </c>
      <c r="E946" s="33" t="n">
        <v>4</v>
      </c>
      <c r="F946" s="34" t="n">
        <f aca="false">D946*E946</f>
        <v>659600</v>
      </c>
      <c r="G946" s="33" t="s">
        <v>54</v>
      </c>
      <c r="H946" s="33" t="str">
        <f aca="false">INDEX(Products!$C$2:$C$51,MATCH(C946,Products!$B$2:$B$51,0))</f>
        <v>Scooter</v>
      </c>
    </row>
    <row r="947" customFormat="false" ht="15" hidden="false" customHeight="false" outlineLevel="0" collapsed="false">
      <c r="A947" s="32" t="n">
        <v>45897</v>
      </c>
      <c r="B947" s="33" t="s">
        <v>49</v>
      </c>
      <c r="C947" s="33" t="s">
        <v>121</v>
      </c>
      <c r="D947" s="34" t="n">
        <v>80900</v>
      </c>
      <c r="E947" s="33" t="n">
        <v>25</v>
      </c>
      <c r="F947" s="34" t="n">
        <f aca="false">D947*E947</f>
        <v>2022500</v>
      </c>
      <c r="G947" s="33" t="s">
        <v>50</v>
      </c>
      <c r="H947" s="33" t="str">
        <f aca="false">INDEX(Products!$C$2:$C$51,MATCH(C947,Products!$B$2:$B$51,0))</f>
        <v>Scooter</v>
      </c>
    </row>
    <row r="948" customFormat="false" ht="15" hidden="false" customHeight="false" outlineLevel="0" collapsed="false">
      <c r="A948" s="32" t="n">
        <v>45897</v>
      </c>
      <c r="B948" s="33" t="s">
        <v>49</v>
      </c>
      <c r="C948" s="33" t="s">
        <v>130</v>
      </c>
      <c r="D948" s="34" t="n">
        <v>119900</v>
      </c>
      <c r="E948" s="33" t="n">
        <v>27</v>
      </c>
      <c r="F948" s="34" t="n">
        <f aca="false">D948*E948</f>
        <v>3237300</v>
      </c>
      <c r="G948" s="33" t="s">
        <v>50</v>
      </c>
      <c r="H948" s="33" t="str">
        <f aca="false">INDEX(Products!$C$2:$C$51,MATCH(C948,Products!$B$2:$B$51,0))</f>
        <v>Underbone</v>
      </c>
    </row>
    <row r="949" customFormat="false" ht="15" hidden="false" customHeight="false" outlineLevel="0" collapsed="false">
      <c r="A949" s="32" t="n">
        <v>45897</v>
      </c>
      <c r="B949" s="33" t="s">
        <v>53</v>
      </c>
      <c r="C949" s="33" t="s">
        <v>67</v>
      </c>
      <c r="D949" s="34" t="n">
        <v>250000</v>
      </c>
      <c r="E949" s="33" t="n">
        <v>6</v>
      </c>
      <c r="F949" s="34" t="n">
        <f aca="false">D949*E949</f>
        <v>1500000</v>
      </c>
      <c r="G949" s="33" t="s">
        <v>54</v>
      </c>
      <c r="H949" s="33" t="str">
        <f aca="false">INDEX(Products!$C$2:$C$51,MATCH(C949,Products!$B$2:$B$51,0))</f>
        <v>Classic</v>
      </c>
    </row>
    <row r="950" customFormat="false" ht="15" hidden="false" customHeight="false" outlineLevel="0" collapsed="false">
      <c r="A950" s="32" t="n">
        <v>45898</v>
      </c>
      <c r="B950" s="33" t="s">
        <v>56</v>
      </c>
      <c r="C950" s="33" t="s">
        <v>129</v>
      </c>
      <c r="D950" s="34" t="n">
        <v>125900</v>
      </c>
      <c r="E950" s="33" t="n">
        <v>17</v>
      </c>
      <c r="F950" s="34" t="n">
        <f aca="false">D950*E950</f>
        <v>2140300</v>
      </c>
      <c r="G950" s="33" t="s">
        <v>50</v>
      </c>
      <c r="H950" s="33" t="str">
        <f aca="false">INDEX(Products!$C$2:$C$51,MATCH(C950,Products!$B$2:$B$51,0))</f>
        <v>Underbone</v>
      </c>
    </row>
    <row r="951" customFormat="false" ht="15" hidden="false" customHeight="false" outlineLevel="0" collapsed="false">
      <c r="A951" s="32" t="n">
        <v>45898</v>
      </c>
      <c r="B951" s="33" t="s">
        <v>53</v>
      </c>
      <c r="C951" s="33" t="s">
        <v>99</v>
      </c>
      <c r="D951" s="34" t="n">
        <v>369000</v>
      </c>
      <c r="E951" s="33" t="n">
        <v>6</v>
      </c>
      <c r="F951" s="34" t="n">
        <f aca="false">D951*E951</f>
        <v>2214000</v>
      </c>
      <c r="G951" s="33" t="s">
        <v>57</v>
      </c>
      <c r="H951" s="33" t="str">
        <f aca="false">INDEX(Products!$C$2:$C$51,MATCH(C951,Products!$B$2:$B$51,0))</f>
        <v>Adventure</v>
      </c>
    </row>
    <row r="952" customFormat="false" ht="15" hidden="false" customHeight="false" outlineLevel="0" collapsed="false">
      <c r="A952" s="32" t="n">
        <v>45898</v>
      </c>
      <c r="B952" s="33" t="s">
        <v>49</v>
      </c>
      <c r="C952" s="33" t="s">
        <v>51</v>
      </c>
      <c r="D952" s="34" t="n">
        <v>689000</v>
      </c>
      <c r="E952" s="33" t="n">
        <v>20</v>
      </c>
      <c r="F952" s="34" t="n">
        <f aca="false">D952*E952</f>
        <v>13780000</v>
      </c>
      <c r="G952" s="33" t="s">
        <v>57</v>
      </c>
      <c r="H952" s="33" t="str">
        <f aca="false">INDEX(Products!$C$2:$C$51,MATCH(C952,Products!$B$2:$B$51,0))</f>
        <v>Heritage</v>
      </c>
    </row>
    <row r="953" customFormat="false" ht="15" hidden="false" customHeight="false" outlineLevel="0" collapsed="false">
      <c r="A953" s="32" t="n">
        <v>45898</v>
      </c>
      <c r="B953" s="33" t="s">
        <v>53</v>
      </c>
      <c r="C953" s="33" t="s">
        <v>69</v>
      </c>
      <c r="D953" s="34" t="n">
        <v>164900</v>
      </c>
      <c r="E953" s="33" t="n">
        <v>17</v>
      </c>
      <c r="F953" s="34" t="n">
        <f aca="false">D953*E953</f>
        <v>2803300</v>
      </c>
      <c r="G953" s="33" t="s">
        <v>57</v>
      </c>
      <c r="H953" s="33" t="str">
        <f aca="false">INDEX(Products!$C$2:$C$51,MATCH(C953,Products!$B$2:$B$51,0))</f>
        <v>Scooter</v>
      </c>
    </row>
    <row r="954" customFormat="false" ht="15" hidden="false" customHeight="false" outlineLevel="0" collapsed="false">
      <c r="A954" s="32" t="n">
        <v>45898</v>
      </c>
      <c r="B954" s="33" t="s">
        <v>53</v>
      </c>
      <c r="C954" s="33" t="s">
        <v>128</v>
      </c>
      <c r="D954" s="34" t="n">
        <v>68900</v>
      </c>
      <c r="E954" s="33" t="n">
        <v>29</v>
      </c>
      <c r="F954" s="34" t="n">
        <f aca="false">D954*E954</f>
        <v>1998100</v>
      </c>
      <c r="G954" s="33" t="s">
        <v>57</v>
      </c>
      <c r="H954" s="33" t="str">
        <f aca="false">INDEX(Products!$C$2:$C$51,MATCH(C954,Products!$B$2:$B$51,0))</f>
        <v>Standard</v>
      </c>
    </row>
    <row r="955" customFormat="false" ht="15" hidden="false" customHeight="false" outlineLevel="0" collapsed="false">
      <c r="A955" s="32" t="n">
        <v>45898</v>
      </c>
      <c r="B955" s="33" t="s">
        <v>53</v>
      </c>
      <c r="C955" s="33" t="s">
        <v>108</v>
      </c>
      <c r="D955" s="34" t="n">
        <v>331000</v>
      </c>
      <c r="E955" s="33" t="n">
        <v>1</v>
      </c>
      <c r="F955" s="34" t="n">
        <f aca="false">D955*E955</f>
        <v>331000</v>
      </c>
      <c r="G955" s="33" t="s">
        <v>50</v>
      </c>
      <c r="H955" s="33" t="str">
        <f aca="false">INDEX(Products!$C$2:$C$51,MATCH(C955,Products!$B$2:$B$51,0))</f>
        <v>Naked Bike</v>
      </c>
    </row>
    <row r="956" customFormat="false" ht="15" hidden="false" customHeight="false" outlineLevel="0" collapsed="false">
      <c r="A956" s="32" t="n">
        <v>45898</v>
      </c>
      <c r="B956" s="33" t="s">
        <v>53</v>
      </c>
      <c r="C956" s="33" t="s">
        <v>107</v>
      </c>
      <c r="D956" s="34" t="n">
        <v>199000</v>
      </c>
      <c r="E956" s="33" t="n">
        <v>5</v>
      </c>
      <c r="F956" s="34" t="n">
        <f aca="false">D956*E956</f>
        <v>995000</v>
      </c>
      <c r="G956" s="33" t="s">
        <v>54</v>
      </c>
      <c r="H956" s="33" t="str">
        <f aca="false">INDEX(Products!$C$2:$C$51,MATCH(C956,Products!$B$2:$B$51,0))</f>
        <v>Dual-Sport</v>
      </c>
    </row>
    <row r="957" customFormat="false" ht="15" hidden="false" customHeight="false" outlineLevel="0" collapsed="false">
      <c r="A957" s="32" t="n">
        <v>45898</v>
      </c>
      <c r="B957" s="33" t="s">
        <v>49</v>
      </c>
      <c r="C957" s="33" t="s">
        <v>129</v>
      </c>
      <c r="D957" s="34" t="n">
        <v>125900</v>
      </c>
      <c r="E957" s="33" t="n">
        <v>8</v>
      </c>
      <c r="F957" s="34" t="n">
        <f aca="false">D957*E957</f>
        <v>1007200</v>
      </c>
      <c r="G957" s="33" t="s">
        <v>54</v>
      </c>
      <c r="H957" s="33" t="str">
        <f aca="false">INDEX(Products!$C$2:$C$51,MATCH(C957,Products!$B$2:$B$51,0))</f>
        <v>Underbone</v>
      </c>
    </row>
    <row r="958" customFormat="false" ht="15" hidden="false" customHeight="false" outlineLevel="0" collapsed="false">
      <c r="A958" s="32" t="n">
        <v>45898</v>
      </c>
      <c r="B958" s="33" t="s">
        <v>49</v>
      </c>
      <c r="C958" s="33" t="s">
        <v>131</v>
      </c>
      <c r="D958" s="34" t="n">
        <v>72900</v>
      </c>
      <c r="E958" s="33" t="n">
        <v>4</v>
      </c>
      <c r="F958" s="34" t="n">
        <f aca="false">D958*E958</f>
        <v>291600</v>
      </c>
      <c r="G958" s="33" t="s">
        <v>54</v>
      </c>
      <c r="H958" s="33" t="str">
        <f aca="false">INDEX(Products!$C$2:$C$51,MATCH(C958,Products!$B$2:$B$51,0))</f>
        <v>Underbone</v>
      </c>
    </row>
    <row r="959" customFormat="false" ht="15" hidden="false" customHeight="false" outlineLevel="0" collapsed="false">
      <c r="A959" s="32" t="n">
        <v>45898</v>
      </c>
      <c r="B959" s="33" t="s">
        <v>53</v>
      </c>
      <c r="C959" s="33" t="s">
        <v>66</v>
      </c>
      <c r="D959" s="34" t="n">
        <v>398000</v>
      </c>
      <c r="E959" s="33" t="n">
        <v>16</v>
      </c>
      <c r="F959" s="34" t="n">
        <f aca="false">D959*E959</f>
        <v>6368000</v>
      </c>
      <c r="G959" s="33" t="s">
        <v>57</v>
      </c>
      <c r="H959" s="33" t="str">
        <f aca="false">INDEX(Products!$C$2:$C$51,MATCH(C959,Products!$B$2:$B$51,0))</f>
        <v>Scooter</v>
      </c>
    </row>
    <row r="960" customFormat="false" ht="15" hidden="false" customHeight="false" outlineLevel="0" collapsed="false">
      <c r="A960" s="32" t="n">
        <v>45898</v>
      </c>
      <c r="B960" s="33" t="s">
        <v>53</v>
      </c>
      <c r="C960" s="33" t="s">
        <v>116</v>
      </c>
      <c r="D960" s="34" t="n">
        <v>219000</v>
      </c>
      <c r="E960" s="33" t="n">
        <v>46</v>
      </c>
      <c r="F960" s="34" t="n">
        <f aca="false">D960*E960</f>
        <v>10074000</v>
      </c>
      <c r="G960" s="33" t="s">
        <v>50</v>
      </c>
      <c r="H960" s="33" t="str">
        <f aca="false">INDEX(Products!$C$2:$C$51,MATCH(C960,Products!$B$2:$B$51,0))</f>
        <v>Scooter</v>
      </c>
    </row>
    <row r="961" customFormat="false" ht="15" hidden="false" customHeight="false" outlineLevel="0" collapsed="false">
      <c r="A961" s="32" t="n">
        <v>45898</v>
      </c>
      <c r="B961" s="33" t="s">
        <v>49</v>
      </c>
      <c r="C961" s="33" t="s">
        <v>63</v>
      </c>
      <c r="D961" s="34" t="n">
        <v>99900</v>
      </c>
      <c r="E961" s="33" t="n">
        <v>46</v>
      </c>
      <c r="F961" s="34" t="n">
        <f aca="false">D961*E961</f>
        <v>4595400</v>
      </c>
      <c r="G961" s="33" t="s">
        <v>54</v>
      </c>
      <c r="H961" s="33" t="str">
        <f aca="false">INDEX(Products!$C$2:$C$51,MATCH(C961,Products!$B$2:$B$51,0))</f>
        <v>Street</v>
      </c>
    </row>
    <row r="962" customFormat="false" ht="15" hidden="false" customHeight="false" outlineLevel="0" collapsed="false">
      <c r="A962" s="32" t="n">
        <v>45898</v>
      </c>
      <c r="B962" s="33" t="s">
        <v>49</v>
      </c>
      <c r="C962" s="33" t="s">
        <v>69</v>
      </c>
      <c r="D962" s="34" t="n">
        <v>164900</v>
      </c>
      <c r="E962" s="33" t="n">
        <v>19</v>
      </c>
      <c r="F962" s="34" t="n">
        <f aca="false">D962*E962</f>
        <v>3133100</v>
      </c>
      <c r="G962" s="33" t="s">
        <v>54</v>
      </c>
      <c r="H962" s="33" t="str">
        <f aca="false">INDEX(Products!$C$2:$C$51,MATCH(C962,Products!$B$2:$B$51,0))</f>
        <v>Scooter</v>
      </c>
    </row>
    <row r="963" customFormat="false" ht="15" hidden="false" customHeight="false" outlineLevel="0" collapsed="false">
      <c r="A963" s="32" t="n">
        <v>45898</v>
      </c>
      <c r="B963" s="33" t="s">
        <v>53</v>
      </c>
      <c r="C963" s="33" t="s">
        <v>104</v>
      </c>
      <c r="D963" s="34" t="n">
        <v>499000</v>
      </c>
      <c r="E963" s="33" t="n">
        <v>3</v>
      </c>
      <c r="F963" s="34" t="n">
        <f aca="false">D963*E963</f>
        <v>1497000</v>
      </c>
      <c r="G963" s="33" t="s">
        <v>50</v>
      </c>
      <c r="H963" s="33" t="str">
        <f aca="false">INDEX(Products!$C$2:$C$51,MATCH(C963,Products!$B$2:$B$51,0))</f>
        <v>Cruiser</v>
      </c>
    </row>
    <row r="964" customFormat="false" ht="15" hidden="false" customHeight="false" outlineLevel="0" collapsed="false">
      <c r="A964" s="32" t="n">
        <v>45898</v>
      </c>
      <c r="B964" s="33" t="s">
        <v>49</v>
      </c>
      <c r="C964" s="33" t="s">
        <v>107</v>
      </c>
      <c r="D964" s="34" t="n">
        <v>199000</v>
      </c>
      <c r="E964" s="33" t="n">
        <v>43</v>
      </c>
      <c r="F964" s="34" t="n">
        <f aca="false">D964*E964</f>
        <v>8557000</v>
      </c>
      <c r="G964" s="33" t="s">
        <v>54</v>
      </c>
      <c r="H964" s="33" t="str">
        <f aca="false">INDEX(Products!$C$2:$C$51,MATCH(C964,Products!$B$2:$B$51,0))</f>
        <v>Dual-Sport</v>
      </c>
    </row>
    <row r="965" customFormat="false" ht="15" hidden="false" customHeight="false" outlineLevel="0" collapsed="false">
      <c r="A965" s="32" t="n">
        <v>45898</v>
      </c>
      <c r="B965" s="33" t="s">
        <v>53</v>
      </c>
      <c r="C965" s="33" t="s">
        <v>106</v>
      </c>
      <c r="D965" s="34" t="n">
        <v>284900</v>
      </c>
      <c r="E965" s="33" t="n">
        <v>20</v>
      </c>
      <c r="F965" s="34" t="n">
        <f aca="false">D965*E965</f>
        <v>5698000</v>
      </c>
      <c r="G965" s="33" t="s">
        <v>54</v>
      </c>
      <c r="H965" s="33" t="str">
        <f aca="false">INDEX(Products!$C$2:$C$51,MATCH(C965,Products!$B$2:$B$51,0))</f>
        <v>Dual-Sport</v>
      </c>
    </row>
    <row r="966" customFormat="false" ht="15" hidden="false" customHeight="false" outlineLevel="0" collapsed="false">
      <c r="A966" s="32" t="n">
        <v>45898</v>
      </c>
      <c r="B966" s="33" t="s">
        <v>49</v>
      </c>
      <c r="C966" s="33" t="s">
        <v>103</v>
      </c>
      <c r="D966" s="34" t="n">
        <v>48000</v>
      </c>
      <c r="E966" s="33" t="n">
        <v>16</v>
      </c>
      <c r="F966" s="34" t="n">
        <f aca="false">D966*E966</f>
        <v>768000</v>
      </c>
      <c r="G966" s="33" t="s">
        <v>50</v>
      </c>
      <c r="H966" s="33" t="str">
        <f aca="false">INDEX(Products!$C$2:$C$51,MATCH(C966,Products!$B$2:$B$51,0))</f>
        <v>Commuter</v>
      </c>
    </row>
    <row r="967" customFormat="false" ht="15" hidden="false" customHeight="false" outlineLevel="0" collapsed="false">
      <c r="A967" s="32" t="n">
        <v>45898</v>
      </c>
      <c r="B967" s="33" t="s">
        <v>53</v>
      </c>
      <c r="C967" s="33" t="s">
        <v>66</v>
      </c>
      <c r="D967" s="34" t="n">
        <v>398000</v>
      </c>
      <c r="E967" s="33" t="n">
        <v>12</v>
      </c>
      <c r="F967" s="34" t="n">
        <f aca="false">D967*E967</f>
        <v>4776000</v>
      </c>
      <c r="G967" s="33" t="s">
        <v>50</v>
      </c>
      <c r="H967" s="33" t="str">
        <f aca="false">INDEX(Products!$C$2:$C$51,MATCH(C967,Products!$B$2:$B$51,0))</f>
        <v>Scooter</v>
      </c>
    </row>
    <row r="968" customFormat="false" ht="15" hidden="false" customHeight="false" outlineLevel="0" collapsed="false">
      <c r="A968" s="32" t="n">
        <v>45898</v>
      </c>
      <c r="B968" s="33" t="s">
        <v>53</v>
      </c>
      <c r="C968" s="33" t="s">
        <v>126</v>
      </c>
      <c r="D968" s="34" t="n">
        <v>198000</v>
      </c>
      <c r="E968" s="33" t="n">
        <v>2</v>
      </c>
      <c r="F968" s="34" t="n">
        <f aca="false">D968*E968</f>
        <v>396000</v>
      </c>
      <c r="G968" s="33" t="s">
        <v>50</v>
      </c>
      <c r="H968" s="33" t="str">
        <f aca="false">INDEX(Products!$C$2:$C$51,MATCH(C968,Products!$B$2:$B$51,0))</f>
        <v>Sport</v>
      </c>
    </row>
    <row r="969" customFormat="false" ht="15" hidden="false" customHeight="false" outlineLevel="0" collapsed="false">
      <c r="A969" s="32" t="n">
        <v>45898</v>
      </c>
      <c r="B969" s="33" t="s">
        <v>49</v>
      </c>
      <c r="C969" s="33" t="s">
        <v>62</v>
      </c>
      <c r="D969" s="34" t="n">
        <v>650000</v>
      </c>
      <c r="E969" s="33" t="n">
        <v>4</v>
      </c>
      <c r="F969" s="34" t="n">
        <f aca="false">D969*E969</f>
        <v>2600000</v>
      </c>
      <c r="G969" s="33" t="s">
        <v>54</v>
      </c>
      <c r="H969" s="33" t="str">
        <f aca="false">INDEX(Products!$C$2:$C$51,MATCH(C969,Products!$B$2:$B$51,0))</f>
        <v>Cruiser</v>
      </c>
    </row>
    <row r="970" customFormat="false" ht="15" hidden="false" customHeight="false" outlineLevel="0" collapsed="false">
      <c r="A970" s="32" t="n">
        <v>45898</v>
      </c>
      <c r="B970" s="33" t="s">
        <v>49</v>
      </c>
      <c r="C970" s="33" t="s">
        <v>71</v>
      </c>
      <c r="D970" s="34" t="n">
        <v>165000</v>
      </c>
      <c r="E970" s="33" t="n">
        <v>15</v>
      </c>
      <c r="F970" s="34" t="n">
        <f aca="false">D970*E970</f>
        <v>2475000</v>
      </c>
      <c r="G970" s="33" t="s">
        <v>57</v>
      </c>
      <c r="H970" s="33" t="str">
        <f aca="false">INDEX(Products!$C$2:$C$51,MATCH(C970,Products!$B$2:$B$51,0))</f>
        <v>Naked Bike</v>
      </c>
    </row>
    <row r="971" customFormat="false" ht="15" hidden="false" customHeight="false" outlineLevel="0" collapsed="false">
      <c r="A971" s="32" t="n">
        <v>45899</v>
      </c>
      <c r="B971" s="33" t="s">
        <v>49</v>
      </c>
      <c r="C971" s="33" t="s">
        <v>58</v>
      </c>
      <c r="D971" s="34" t="n">
        <v>995000</v>
      </c>
      <c r="E971" s="33" t="n">
        <v>10</v>
      </c>
      <c r="F971" s="34" t="n">
        <f aca="false">D971*E971</f>
        <v>9950000</v>
      </c>
      <c r="G971" s="33" t="s">
        <v>50</v>
      </c>
      <c r="H971" s="33" t="str">
        <f aca="false">INDEX(Products!$C$2:$C$51,MATCH(C971,Products!$B$2:$B$51,0))</f>
        <v>Heritage</v>
      </c>
    </row>
    <row r="972" customFormat="false" ht="15" hidden="false" customHeight="false" outlineLevel="0" collapsed="false">
      <c r="A972" s="32" t="n">
        <v>45899</v>
      </c>
      <c r="B972" s="33" t="s">
        <v>53</v>
      </c>
      <c r="C972" s="33" t="s">
        <v>68</v>
      </c>
      <c r="D972" s="34" t="n">
        <v>389000</v>
      </c>
      <c r="E972" s="33" t="n">
        <v>2</v>
      </c>
      <c r="F972" s="34" t="n">
        <f aca="false">D972*E972</f>
        <v>778000</v>
      </c>
      <c r="G972" s="33" t="s">
        <v>57</v>
      </c>
      <c r="H972" s="33" t="str">
        <f aca="false">INDEX(Products!$C$2:$C$51,MATCH(C972,Products!$B$2:$B$51,0))</f>
        <v>Sport</v>
      </c>
    </row>
    <row r="973" customFormat="false" ht="15" hidden="false" customHeight="false" outlineLevel="0" collapsed="false">
      <c r="A973" s="32" t="n">
        <v>45899</v>
      </c>
      <c r="B973" s="33" t="s">
        <v>53</v>
      </c>
      <c r="C973" s="33" t="s">
        <v>115</v>
      </c>
      <c r="D973" s="34" t="n">
        <v>289000</v>
      </c>
      <c r="E973" s="33" t="n">
        <v>11</v>
      </c>
      <c r="F973" s="34" t="n">
        <f aca="false">D973*E973</f>
        <v>3179000</v>
      </c>
      <c r="G973" s="33" t="s">
        <v>50</v>
      </c>
      <c r="H973" s="33" t="str">
        <f aca="false">INDEX(Products!$C$2:$C$51,MATCH(C973,Products!$B$2:$B$51,0))</f>
        <v>Scooter</v>
      </c>
    </row>
    <row r="974" customFormat="false" ht="15" hidden="false" customHeight="false" outlineLevel="0" collapsed="false">
      <c r="A974" s="32" t="n">
        <v>45899</v>
      </c>
      <c r="B974" s="33" t="s">
        <v>49</v>
      </c>
      <c r="C974" s="33" t="s">
        <v>126</v>
      </c>
      <c r="D974" s="34" t="n">
        <v>198000</v>
      </c>
      <c r="E974" s="33" t="n">
        <v>26</v>
      </c>
      <c r="F974" s="34" t="n">
        <f aca="false">D974*E974</f>
        <v>5148000</v>
      </c>
      <c r="G974" s="33" t="s">
        <v>54</v>
      </c>
      <c r="H974" s="33" t="str">
        <f aca="false">INDEX(Products!$C$2:$C$51,MATCH(C974,Products!$B$2:$B$51,0))</f>
        <v>Sport</v>
      </c>
    </row>
    <row r="975" customFormat="false" ht="15" hidden="false" customHeight="false" outlineLevel="0" collapsed="false">
      <c r="A975" s="32" t="n">
        <v>45899</v>
      </c>
      <c r="B975" s="33" t="s">
        <v>53</v>
      </c>
      <c r="C975" s="33" t="s">
        <v>111</v>
      </c>
      <c r="D975" s="34" t="n">
        <v>129000</v>
      </c>
      <c r="E975" s="33" t="n">
        <v>38</v>
      </c>
      <c r="F975" s="34" t="n">
        <f aca="false">D975*E975</f>
        <v>4902000</v>
      </c>
      <c r="G975" s="33" t="s">
        <v>57</v>
      </c>
      <c r="H975" s="33" t="str">
        <f aca="false">INDEX(Products!$C$2:$C$51,MATCH(C975,Products!$B$2:$B$51,0))</f>
        <v>Naked Bike</v>
      </c>
    </row>
    <row r="976" customFormat="false" ht="15" hidden="false" customHeight="false" outlineLevel="0" collapsed="false">
      <c r="A976" s="32" t="n">
        <v>45900</v>
      </c>
      <c r="B976" s="33" t="s">
        <v>49</v>
      </c>
      <c r="C976" s="33" t="s">
        <v>64</v>
      </c>
      <c r="D976" s="34" t="n">
        <v>248000</v>
      </c>
      <c r="E976" s="33" t="n">
        <v>13</v>
      </c>
      <c r="F976" s="34" t="n">
        <f aca="false">D976*E976</f>
        <v>3224000</v>
      </c>
      <c r="G976" s="33" t="s">
        <v>50</v>
      </c>
      <c r="H976" s="33" t="str">
        <f aca="false">INDEX(Products!$C$2:$C$51,MATCH(C976,Products!$B$2:$B$51,0))</f>
        <v>Adventure</v>
      </c>
    </row>
    <row r="977" customFormat="false" ht="15" hidden="false" customHeight="false" outlineLevel="0" collapsed="false">
      <c r="A977" s="32" t="n">
        <v>45900</v>
      </c>
      <c r="B977" s="33" t="s">
        <v>49</v>
      </c>
      <c r="C977" s="33" t="s">
        <v>115</v>
      </c>
      <c r="D977" s="34" t="n">
        <v>289000</v>
      </c>
      <c r="E977" s="33" t="n">
        <v>10</v>
      </c>
      <c r="F977" s="34" t="n">
        <f aca="false">D977*E977</f>
        <v>2890000</v>
      </c>
      <c r="G977" s="33" t="s">
        <v>57</v>
      </c>
      <c r="H977" s="33" t="str">
        <f aca="false">INDEX(Products!$C$2:$C$51,MATCH(C977,Products!$B$2:$B$51,0))</f>
        <v>Scooter</v>
      </c>
    </row>
    <row r="978" customFormat="false" ht="15" hidden="false" customHeight="false" outlineLevel="0" collapsed="false">
      <c r="A978" s="32" t="n">
        <v>45900</v>
      </c>
      <c r="B978" s="33" t="s">
        <v>53</v>
      </c>
      <c r="C978" s="33" t="s">
        <v>69</v>
      </c>
      <c r="D978" s="34" t="n">
        <v>164900</v>
      </c>
      <c r="E978" s="33" t="n">
        <v>35</v>
      </c>
      <c r="F978" s="34" t="n">
        <f aca="false">D978*E978</f>
        <v>5771500</v>
      </c>
      <c r="G978" s="33" t="s">
        <v>54</v>
      </c>
      <c r="H978" s="33" t="str">
        <f aca="false">INDEX(Products!$C$2:$C$51,MATCH(C978,Products!$B$2:$B$51,0))</f>
        <v>Scooter</v>
      </c>
    </row>
    <row r="979" customFormat="false" ht="15" hidden="false" customHeight="false" outlineLevel="0" collapsed="false">
      <c r="A979" s="32" t="n">
        <v>45900</v>
      </c>
      <c r="B979" s="33" t="s">
        <v>49</v>
      </c>
      <c r="C979" s="33" t="s">
        <v>117</v>
      </c>
      <c r="D979" s="34" t="n">
        <v>210000</v>
      </c>
      <c r="E979" s="33" t="n">
        <v>6</v>
      </c>
      <c r="F979" s="34" t="n">
        <f aca="false">D979*E979</f>
        <v>1260000</v>
      </c>
      <c r="G979" s="33" t="s">
        <v>54</v>
      </c>
      <c r="H979" s="33" t="str">
        <f aca="false">INDEX(Products!$C$2:$C$51,MATCH(C979,Products!$B$2:$B$51,0))</f>
        <v>Scooter</v>
      </c>
    </row>
    <row r="980" customFormat="false" ht="15" hidden="false" customHeight="false" outlineLevel="0" collapsed="false">
      <c r="A980" s="32" t="n">
        <v>45900</v>
      </c>
      <c r="B980" s="33" t="s">
        <v>49</v>
      </c>
      <c r="C980" s="33" t="s">
        <v>124</v>
      </c>
      <c r="D980" s="34" t="n">
        <v>295000</v>
      </c>
      <c r="E980" s="33" t="n">
        <v>4</v>
      </c>
      <c r="F980" s="34" t="n">
        <f aca="false">D980*E980</f>
        <v>1180000</v>
      </c>
      <c r="G980" s="33" t="s">
        <v>50</v>
      </c>
      <c r="H980" s="33" t="str">
        <f aca="false">INDEX(Products!$C$2:$C$51,MATCH(C980,Products!$B$2:$B$51,0))</f>
        <v>Scrambler</v>
      </c>
    </row>
    <row r="981" customFormat="false" ht="15" hidden="false" customHeight="false" outlineLevel="0" collapsed="false">
      <c r="A981" s="32" t="n">
        <v>45900</v>
      </c>
      <c r="B981" s="33" t="s">
        <v>49</v>
      </c>
      <c r="C981" s="33" t="s">
        <v>113</v>
      </c>
      <c r="D981" s="34" t="n">
        <v>182000</v>
      </c>
      <c r="E981" s="33" t="n">
        <v>19</v>
      </c>
      <c r="F981" s="34" t="n">
        <f aca="false">D981*E981</f>
        <v>3458000</v>
      </c>
      <c r="G981" s="33" t="s">
        <v>54</v>
      </c>
      <c r="H981" s="33" t="str">
        <f aca="false">INDEX(Products!$C$2:$C$51,MATCH(C981,Products!$B$2:$B$51,0))</f>
        <v>Retro</v>
      </c>
    </row>
    <row r="982" customFormat="false" ht="15" hidden="false" customHeight="false" outlineLevel="0" collapsed="false">
      <c r="A982" s="32" t="n">
        <v>45900</v>
      </c>
      <c r="B982" s="33" t="s">
        <v>53</v>
      </c>
      <c r="C982" s="33" t="s">
        <v>55</v>
      </c>
      <c r="D982" s="34" t="n">
        <v>67900</v>
      </c>
      <c r="E982" s="33" t="n">
        <v>13</v>
      </c>
      <c r="F982" s="34" t="n">
        <f aca="false">D982*E982</f>
        <v>882700</v>
      </c>
      <c r="G982" s="33" t="s">
        <v>50</v>
      </c>
      <c r="H982" s="33" t="str">
        <f aca="false">INDEX(Products!$C$2:$C$51,MATCH(C982,Products!$B$2:$B$51,0))</f>
        <v>Commuter</v>
      </c>
    </row>
    <row r="983" customFormat="false" ht="15" hidden="false" customHeight="false" outlineLevel="0" collapsed="false">
      <c r="A983" s="32" t="n">
        <v>45900</v>
      </c>
      <c r="B983" s="33" t="s">
        <v>53</v>
      </c>
      <c r="C983" s="33" t="s">
        <v>113</v>
      </c>
      <c r="D983" s="34" t="n">
        <v>182000</v>
      </c>
      <c r="E983" s="33" t="n">
        <v>11</v>
      </c>
      <c r="F983" s="34" t="n">
        <f aca="false">D983*E983</f>
        <v>2002000</v>
      </c>
      <c r="G983" s="33" t="s">
        <v>50</v>
      </c>
      <c r="H983" s="33" t="str">
        <f aca="false">INDEX(Products!$C$2:$C$51,MATCH(C983,Products!$B$2:$B$51,0))</f>
        <v>Retro</v>
      </c>
    </row>
    <row r="984" customFormat="false" ht="15" hidden="false" customHeight="false" outlineLevel="0" collapsed="false">
      <c r="A984" s="32" t="n">
        <v>45900</v>
      </c>
      <c r="B984" s="33" t="s">
        <v>49</v>
      </c>
      <c r="C984" s="33" t="s">
        <v>55</v>
      </c>
      <c r="D984" s="34" t="n">
        <v>67900</v>
      </c>
      <c r="E984" s="33" t="n">
        <v>25</v>
      </c>
      <c r="F984" s="34" t="n">
        <f aca="false">D984*E984</f>
        <v>1697500</v>
      </c>
      <c r="G984" s="33" t="s">
        <v>54</v>
      </c>
      <c r="H984" s="33" t="str">
        <f aca="false">INDEX(Products!$C$2:$C$51,MATCH(C984,Products!$B$2:$B$51,0))</f>
        <v>Commuter</v>
      </c>
    </row>
    <row r="985" customFormat="false" ht="15" hidden="false" customHeight="false" outlineLevel="0" collapsed="false">
      <c r="A985" s="32" t="n">
        <v>45900</v>
      </c>
      <c r="B985" s="33" t="s">
        <v>53</v>
      </c>
      <c r="C985" s="33" t="s">
        <v>122</v>
      </c>
      <c r="D985" s="34" t="n">
        <v>80900</v>
      </c>
      <c r="E985" s="33" t="n">
        <v>31</v>
      </c>
      <c r="F985" s="34" t="n">
        <f aca="false">D985*E985</f>
        <v>2507900</v>
      </c>
      <c r="G985" s="33" t="s">
        <v>50</v>
      </c>
      <c r="H985" s="33" t="str">
        <f aca="false">INDEX(Products!$C$2:$C$51,MATCH(C985,Products!$B$2:$B$51,0))</f>
        <v>Scooter</v>
      </c>
    </row>
    <row r="986" customFormat="false" ht="15" hidden="false" customHeight="false" outlineLevel="0" collapsed="false">
      <c r="A986" s="32" t="n">
        <v>45900</v>
      </c>
      <c r="B986" s="33" t="s">
        <v>49</v>
      </c>
      <c r="C986" s="33" t="s">
        <v>61</v>
      </c>
      <c r="D986" s="34" t="n">
        <v>299000</v>
      </c>
      <c r="E986" s="33" t="n">
        <v>35</v>
      </c>
      <c r="F986" s="34" t="n">
        <f aca="false">D986*E986</f>
        <v>10465000</v>
      </c>
      <c r="G986" s="33" t="s">
        <v>57</v>
      </c>
      <c r="H986" s="33" t="str">
        <f aca="false">INDEX(Products!$C$2:$C$51,MATCH(C986,Products!$B$2:$B$51,0))</f>
        <v>Dual-Sport</v>
      </c>
    </row>
    <row r="987" customFormat="false" ht="15" hidden="false" customHeight="false" outlineLevel="0" collapsed="false">
      <c r="A987" s="32" t="n">
        <v>45900</v>
      </c>
      <c r="B987" s="33" t="s">
        <v>49</v>
      </c>
      <c r="C987" s="33" t="s">
        <v>106</v>
      </c>
      <c r="D987" s="34" t="n">
        <v>284900</v>
      </c>
      <c r="E987" s="33" t="n">
        <v>3</v>
      </c>
      <c r="F987" s="34" t="n">
        <f aca="false">D987*E987</f>
        <v>854700</v>
      </c>
      <c r="G987" s="33" t="s">
        <v>54</v>
      </c>
      <c r="H987" s="33" t="str">
        <f aca="false">INDEX(Products!$C$2:$C$51,MATCH(C987,Products!$B$2:$B$51,0))</f>
        <v>Dual-Sport</v>
      </c>
    </row>
    <row r="988" customFormat="false" ht="15" hidden="false" customHeight="false" outlineLevel="0" collapsed="false">
      <c r="A988" s="32" t="n">
        <v>45900</v>
      </c>
      <c r="B988" s="33" t="s">
        <v>49</v>
      </c>
      <c r="C988" s="33" t="s">
        <v>61</v>
      </c>
      <c r="D988" s="34" t="n">
        <v>299000</v>
      </c>
      <c r="E988" s="33" t="n">
        <v>10</v>
      </c>
      <c r="F988" s="34" t="n">
        <f aca="false">D988*E988</f>
        <v>2990000</v>
      </c>
      <c r="G988" s="33" t="s">
        <v>54</v>
      </c>
      <c r="H988" s="33" t="str">
        <f aca="false">INDEX(Products!$C$2:$C$51,MATCH(C988,Products!$B$2:$B$51,0))</f>
        <v>Dual-Sport</v>
      </c>
    </row>
    <row r="989" customFormat="false" ht="15" hidden="false" customHeight="false" outlineLevel="0" collapsed="false">
      <c r="A989" s="32" t="n">
        <v>45900</v>
      </c>
      <c r="B989" s="33" t="s">
        <v>49</v>
      </c>
      <c r="C989" s="33" t="s">
        <v>120</v>
      </c>
      <c r="D989" s="34" t="n">
        <v>124000</v>
      </c>
      <c r="E989" s="33" t="n">
        <v>3</v>
      </c>
      <c r="F989" s="34" t="n">
        <f aca="false">D989*E989</f>
        <v>372000</v>
      </c>
      <c r="G989" s="33" t="s">
        <v>54</v>
      </c>
      <c r="H989" s="33" t="str">
        <f aca="false">INDEX(Products!$C$2:$C$51,MATCH(C989,Products!$B$2:$B$51,0))</f>
        <v>Scooter</v>
      </c>
    </row>
    <row r="990" customFormat="false" ht="15" hidden="false" customHeight="false" outlineLevel="0" collapsed="false">
      <c r="A990" s="32" t="n">
        <v>45900</v>
      </c>
      <c r="B990" s="33" t="s">
        <v>53</v>
      </c>
      <c r="C990" s="33" t="s">
        <v>127</v>
      </c>
      <c r="D990" s="34" t="n">
        <v>199900</v>
      </c>
      <c r="E990" s="33" t="n">
        <v>13</v>
      </c>
      <c r="F990" s="34" t="n">
        <f aca="false">D990*E990</f>
        <v>2598700</v>
      </c>
      <c r="G990" s="33" t="s">
        <v>50</v>
      </c>
      <c r="H990" s="33" t="str">
        <f aca="false">INDEX(Products!$C$2:$C$51,MATCH(C990,Products!$B$2:$B$51,0))</f>
        <v>Sport Touring</v>
      </c>
    </row>
    <row r="991" customFormat="false" ht="15" hidden="false" customHeight="false" outlineLevel="0" collapsed="false">
      <c r="A991" s="32" t="n">
        <v>45900</v>
      </c>
      <c r="B991" s="33" t="s">
        <v>49</v>
      </c>
      <c r="C991" s="33" t="s">
        <v>61</v>
      </c>
      <c r="D991" s="34" t="n">
        <v>299000</v>
      </c>
      <c r="E991" s="33" t="n">
        <v>20</v>
      </c>
      <c r="F991" s="34" t="n">
        <f aca="false">D991*E991</f>
        <v>5980000</v>
      </c>
      <c r="G991" s="33" t="s">
        <v>57</v>
      </c>
      <c r="H991" s="33" t="str">
        <f aca="false">INDEX(Products!$C$2:$C$51,MATCH(C991,Products!$B$2:$B$51,0))</f>
        <v>Dual-Sport</v>
      </c>
    </row>
    <row r="992" customFormat="false" ht="15" hidden="false" customHeight="false" outlineLevel="0" collapsed="false">
      <c r="A992" s="32" t="n">
        <v>45900</v>
      </c>
      <c r="B992" s="33" t="s">
        <v>49</v>
      </c>
      <c r="C992" s="33" t="s">
        <v>101</v>
      </c>
      <c r="D992" s="34" t="n">
        <v>328000</v>
      </c>
      <c r="E992" s="33" t="n">
        <v>12</v>
      </c>
      <c r="F992" s="34" t="n">
        <f aca="false">D992*E992</f>
        <v>3936000</v>
      </c>
      <c r="G992" s="33" t="s">
        <v>50</v>
      </c>
      <c r="H992" s="33" t="str">
        <f aca="false">INDEX(Products!$C$2:$C$51,MATCH(C992,Products!$B$2:$B$51,0))</f>
        <v>Cafe Racer</v>
      </c>
    </row>
    <row r="993" customFormat="false" ht="15" hidden="false" customHeight="false" outlineLevel="0" collapsed="false">
      <c r="A993" s="32" t="n">
        <v>45900</v>
      </c>
      <c r="B993" s="33" t="s">
        <v>49</v>
      </c>
      <c r="C993" s="33" t="s">
        <v>55</v>
      </c>
      <c r="D993" s="34" t="n">
        <v>67900</v>
      </c>
      <c r="E993" s="33" t="n">
        <v>22</v>
      </c>
      <c r="F993" s="34" t="n">
        <f aca="false">D993*E993</f>
        <v>1493800</v>
      </c>
      <c r="G993" s="33" t="s">
        <v>57</v>
      </c>
      <c r="H993" s="33" t="str">
        <f aca="false">INDEX(Products!$C$2:$C$51,MATCH(C993,Products!$B$2:$B$51,0))</f>
        <v>Commuter</v>
      </c>
    </row>
    <row r="994" customFormat="false" ht="15" hidden="false" customHeight="false" outlineLevel="0" collapsed="false">
      <c r="A994" s="32" t="n">
        <v>45900</v>
      </c>
      <c r="B994" s="33" t="s">
        <v>49</v>
      </c>
      <c r="C994" s="33" t="s">
        <v>52</v>
      </c>
      <c r="D994" s="34" t="n">
        <v>398000</v>
      </c>
      <c r="E994" s="33" t="n">
        <v>43</v>
      </c>
      <c r="F994" s="34" t="n">
        <f aca="false">D994*E994</f>
        <v>17114000</v>
      </c>
      <c r="G994" s="33" t="s">
        <v>57</v>
      </c>
      <c r="H994" s="33" t="str">
        <f aca="false">INDEX(Products!$C$2:$C$51,MATCH(C994,Products!$B$2:$B$51,0))</f>
        <v>Cruiser</v>
      </c>
    </row>
    <row r="995" customFormat="false" ht="15" hidden="false" customHeight="false" outlineLevel="0" collapsed="false">
      <c r="A995" s="32" t="n">
        <v>45900</v>
      </c>
      <c r="B995" s="33" t="s">
        <v>49</v>
      </c>
      <c r="C995" s="33" t="s">
        <v>71</v>
      </c>
      <c r="D995" s="34" t="n">
        <v>165000</v>
      </c>
      <c r="E995" s="33" t="n">
        <v>38</v>
      </c>
      <c r="F995" s="34" t="n">
        <f aca="false">D995*E995</f>
        <v>6270000</v>
      </c>
      <c r="G995" s="33" t="s">
        <v>50</v>
      </c>
      <c r="H995" s="33" t="str">
        <f aca="false">INDEX(Products!$C$2:$C$51,MATCH(C995,Products!$B$2:$B$51,0))</f>
        <v>Naked Bike</v>
      </c>
    </row>
  </sheetData>
  <autoFilter ref="A1:H9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12"/>
  </cols>
  <sheetData>
    <row r="1" customFormat="false" ht="17.35" hidden="false" customHeight="false" outlineLevel="0" collapsed="false">
      <c r="A1" s="22" t="s">
        <v>135</v>
      </c>
    </row>
    <row r="3" customFormat="false" ht="15" hidden="false" customHeight="false" outlineLevel="0" collapsed="false">
      <c r="A3" s="24" t="s">
        <v>136</v>
      </c>
      <c r="B3" s="24" t="s">
        <v>137</v>
      </c>
      <c r="C3" s="24" t="s">
        <v>138</v>
      </c>
    </row>
    <row r="4" customFormat="false" ht="15" hidden="false" customHeight="false" outlineLevel="0" collapsed="false">
      <c r="A4" s="35" t="s">
        <v>74</v>
      </c>
      <c r="B4" s="35" t="s">
        <v>139</v>
      </c>
      <c r="C4" s="36" t="n">
        <v>50</v>
      </c>
    </row>
    <row r="5" customFormat="false" ht="15" hidden="false" customHeight="false" outlineLevel="0" collapsed="false">
      <c r="A5" s="35" t="s">
        <v>74</v>
      </c>
      <c r="B5" s="35" t="s">
        <v>140</v>
      </c>
      <c r="C5" s="36" t="n">
        <v>0</v>
      </c>
    </row>
    <row r="6" customFormat="false" ht="15" hidden="false" customHeight="false" outlineLevel="0" collapsed="false">
      <c r="A6" s="35" t="s">
        <v>74</v>
      </c>
      <c r="B6" s="35" t="s">
        <v>141</v>
      </c>
      <c r="C6" s="36" t="n">
        <v>0</v>
      </c>
    </row>
    <row r="7" customFormat="false" ht="15" hidden="false" customHeight="false" outlineLevel="0" collapsed="false">
      <c r="A7" s="35" t="s">
        <v>74</v>
      </c>
      <c r="B7" s="35" t="s">
        <v>142</v>
      </c>
      <c r="C7" s="36" t="n">
        <v>0</v>
      </c>
    </row>
    <row r="8" customFormat="false" ht="15" hidden="false" customHeight="false" outlineLevel="0" collapsed="false">
      <c r="A8" s="35" t="s">
        <v>74</v>
      </c>
      <c r="B8" s="35" t="s">
        <v>143</v>
      </c>
      <c r="C8" s="36" t="n">
        <v>0</v>
      </c>
    </row>
    <row r="9" customFormat="false" ht="15" hidden="false" customHeight="false" outlineLevel="0" collapsed="false">
      <c r="A9" s="35" t="s">
        <v>74</v>
      </c>
      <c r="B9" s="35" t="s">
        <v>144</v>
      </c>
      <c r="C9" s="36" t="n">
        <v>0</v>
      </c>
    </row>
    <row r="10" customFormat="false" ht="15" hidden="false" customHeight="false" outlineLevel="0" collapsed="false">
      <c r="A10" s="35" t="s">
        <v>74</v>
      </c>
      <c r="B10" s="35" t="s">
        <v>145</v>
      </c>
      <c r="C10" s="36" t="n">
        <v>50</v>
      </c>
    </row>
    <row r="11" customFormat="false" ht="15" hidden="false" customHeight="false" outlineLevel="0" collapsed="false">
      <c r="A11" s="35" t="s">
        <v>146</v>
      </c>
      <c r="B11" s="35" t="s">
        <v>147</v>
      </c>
      <c r="C11" s="36" t="n">
        <v>994</v>
      </c>
    </row>
    <row r="12" customFormat="false" ht="15" hidden="false" customHeight="false" outlineLevel="0" collapsed="false">
      <c r="A12" s="35" t="s">
        <v>146</v>
      </c>
      <c r="B12" s="35" t="s">
        <v>148</v>
      </c>
      <c r="C12" s="36" t="n">
        <v>0</v>
      </c>
    </row>
    <row r="13" customFormat="false" ht="15" hidden="false" customHeight="false" outlineLevel="0" collapsed="false">
      <c r="A13" s="35" t="s">
        <v>146</v>
      </c>
      <c r="B13" s="35" t="s">
        <v>149</v>
      </c>
      <c r="C13" s="36" t="n">
        <v>0</v>
      </c>
    </row>
    <row r="14" customFormat="false" ht="15" hidden="false" customHeight="false" outlineLevel="0" collapsed="false">
      <c r="A14" s="35" t="s">
        <v>146</v>
      </c>
      <c r="B14" s="35" t="s">
        <v>150</v>
      </c>
      <c r="C14" s="36" t="n">
        <v>10</v>
      </c>
    </row>
    <row r="15" customFormat="false" ht="15" hidden="false" customHeight="false" outlineLevel="0" collapsed="false">
      <c r="A15" s="35" t="s">
        <v>146</v>
      </c>
      <c r="B15" s="35" t="s">
        <v>151</v>
      </c>
      <c r="C15" s="36" t="n">
        <v>0</v>
      </c>
    </row>
    <row r="16" customFormat="false" ht="15" hidden="false" customHeight="false" outlineLevel="0" collapsed="false">
      <c r="A16" s="35" t="s">
        <v>146</v>
      </c>
      <c r="B16" s="35" t="s">
        <v>152</v>
      </c>
      <c r="C16" s="36" t="n">
        <v>10</v>
      </c>
    </row>
    <row r="17" customFormat="false" ht="15" hidden="false" customHeight="false" outlineLevel="0" collapsed="false">
      <c r="A17" s="35" t="s">
        <v>146</v>
      </c>
      <c r="B17" s="35" t="s">
        <v>153</v>
      </c>
      <c r="C17" s="36" t="n">
        <v>0</v>
      </c>
    </row>
    <row r="18" customFormat="false" ht="15" hidden="false" customHeight="false" outlineLevel="0" collapsed="false">
      <c r="A18" s="35" t="s">
        <v>146</v>
      </c>
      <c r="B18" s="35" t="s">
        <v>154</v>
      </c>
      <c r="C18" s="36" t="n">
        <v>0</v>
      </c>
    </row>
    <row r="19" customFormat="false" ht="15" hidden="false" customHeight="false" outlineLevel="0" collapsed="false">
      <c r="A19" s="35" t="s">
        <v>146</v>
      </c>
      <c r="B19" s="35" t="s">
        <v>155</v>
      </c>
      <c r="C19" s="36" t="n">
        <v>0</v>
      </c>
    </row>
    <row r="20" customFormat="false" ht="15" hidden="false" customHeight="false" outlineLevel="0" collapsed="false">
      <c r="A20" s="35" t="s">
        <v>146</v>
      </c>
      <c r="B20" s="35" t="s">
        <v>156</v>
      </c>
      <c r="C20" s="36" t="n">
        <v>0</v>
      </c>
    </row>
    <row r="21" customFormat="false" ht="15" hidden="false" customHeight="false" outlineLevel="0" collapsed="false">
      <c r="A21" s="35" t="s">
        <v>146</v>
      </c>
      <c r="B21" s="35" t="s">
        <v>157</v>
      </c>
      <c r="C21" s="36" t="n">
        <v>994</v>
      </c>
    </row>
    <row r="23" customFormat="false" ht="15" hidden="false" customHeight="false" outlineLevel="0" collapsed="false">
      <c r="A23" s="37"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2026-10-14T09:23:09Z</dcterms:created>
  <dc:creator>openpyxl</dc:creator>
  <dc:description/>
  <dc:language>en-US</dc:language>
  <cp:lastModifiedBy/>
  <dcterms:modified xsi:type="dcterms:W3CDTF">2026-10-14T17:23:37Z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